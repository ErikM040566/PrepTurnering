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4"/>
  </bookViews>
  <sheets>
    <sheet name="Hjelp" sheetId="200" r:id="rId1"/>
    <sheet name="Grunndata" sheetId="1" r:id="rId2"/>
    <sheet name="Kamprapport mal" sheetId="43" r:id="rId3"/>
    <sheet name="Dommere" sheetId="199" r:id="rId4"/>
    <sheet name="Kvitering mal" sheetId="236" r:id="rId5"/>
    <sheet name="Sheet1" sheetId="237" r:id="rId6"/>
  </sheets>
  <functionGroups builtInGroupCount="18"/>
  <definedNames>
    <definedName name="_xlnm._FilterDatabase" localSheetId="1" hidden="1">Grunndata!$A$5:$J$72</definedName>
    <definedName name="_xlnm.Print_Area" localSheetId="2">'Kamprapport mal'!$A$1:$I$24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<sst xmlns="http://schemas.openxmlformats.org/spreadsheetml/2006/main" count="492" uniqueCount="193">
  <si>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</si>
  <si>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</si>
  <si>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</si>
  <si>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</si>
  <si>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</si>
  <si>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</si>
  <si>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</si>
  <si>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</si>
  <si>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</si>
  <si>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</si>
  <si>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</si>
  <si>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</si>
  <si>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</si>
  <si>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</si>
  <si>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</si>
  <si>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</si>
  <si>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</si>
  <si>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</si>
  <si>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</si>
  <si>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</si>
  <si>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</si>
  <si>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</si>
  <si>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</si>
  <si>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</si>
  <si>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</si>
  <si>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</si>
  <si>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</si>
  <si>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</si>
  <si>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</si>
  <si>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</si>
  <si>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</si>
  <si>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</si>
  <si>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</si>
  <si>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</si>
  <si>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</si>
  <si>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</si>
  <si>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</si>
  <si>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</si>
  <si>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</si>
  <si>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</si>
  <si>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</si>
  <si>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</si>
  <si>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</si>
  <si>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</si>
  <si>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</si>
  <si>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</si>
  <si>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</si>
  <si>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</si>
  <si>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</si>
  <si>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</si>
  <si>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</si>
  <si>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</si>
  <si>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</si>
  <si>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</si>
  <si>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</si>
  <si>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</si>
  <si>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</si>
  <si>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</si>
  <si>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</si>
  <si>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</si>
  <si>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</si>
  <si>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</si>
  <si>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</si>
  <si>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</si>
  <si>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</si>
  <si>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</si>
  <si>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</si>
  <si>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</si>
  <si>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</si>
  <si>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</si>
  <si>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</si>
  <si>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</si>
  <si>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</si>
  <si>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</si>
  <si>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</si>
  <si>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</si>
  <si>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</si>
  <si>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</si>
  <si>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</si>
  <si>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</si>
  <si>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</si>
  <si>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</si>
  <si>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</si>
  <si>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</si>
  <si>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</si>
  <si>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</si>
  <si>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</si>
  <si>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</si>
  <si>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</si>
  <si>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</si>
  <si>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</si>
  <si>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</si>
  <si>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</si>
  <si>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</si>
  <si>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</si>
  <si>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</si>
  <si>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</si>
  <si>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</si>
  <si>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</si>
  <si>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</si>
  <si>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</si>
  <si>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</si>
  <si>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</si>
  <si>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</si>
  <si>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</si>
  <si>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</si>
  <si>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</si>
  <si>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</si>
  <si>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</si>
  <si>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</si>
  <si>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</si>
  <si>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</si>
  <si>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</si>
  <si>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</si>
  <si>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</si>
  <si>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</si>
  <si>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</si>
  <si>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</si>
  <si>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</si>
  <si>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</si>
  <si>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</si>
  <si>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</si>
  <si>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</si>
  <si>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</si>
  <si>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</si>
  <si>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</si>
  <si>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</si>
  <si>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</si>
  <si>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</si>
  <si>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</si>
  <si>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</si>
  <si>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</si>
  <si>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</si>
  <si>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</si>
  <si>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</si>
  <si>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</si>
  <si>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</si>
  <si>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</si>
  <si>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</si>
  <si>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</si>
  <si>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</si>
  <si>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</si>
  <si>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</si>
  <si>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</si>
  <si>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</si>
  <si>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</si>
  <si>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</si>
  <si>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</si>
  <si>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</si>
  <si>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</si>
  <si>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</si>
  <si>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</si>
  <si>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</si>
  <si>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</si>
  <si>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</si>
  <si>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</si>
  <si>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</si>
  <si>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</si>
  <si>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</si>
  <si>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</si>
  <si>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</si>
  <si>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</si>
  <si>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</si>
  <si>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</si>
  <si>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</si>
  <si>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</si>
  <si>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</si>
  <si>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</si>
  <si>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</si>
  <si>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</si>
  <si>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</si>
  <si>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</si>
  <si>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</si>
  <si>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</si>
  <si>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</si>
  <si>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</si>
  <si>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</si>
  <si>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</si>
  <si>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</si>
  <si>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</si>
  <si>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</si>
  <si>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</si>
  <si>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</si>
  <si>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</si>
  <si>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</si>
  <si>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</si>
  <si>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</si>
  <si>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</si>
  <si>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</si>
  <si>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</si>
  <si>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</si>
  <si>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</si>
  <si>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Kvittering for betaling av dommere i BARNEHÅNDBALLturneringer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</si>
</sst>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theme="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4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9" fillId="0" borderId="0" xfId="0" applyFont="1" applyAlignment="1">
      <alignment horizontal="center" vertical="center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171450</xdr:colOff>
      <xdr:row>1</xdr:row>
      <xdr:rowOff>0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B621F01A-EC7A-44E5-93D4-9A9FFF586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002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workbookViewId="0">
      <selection activeCell="F5" sqref="F5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 xml:space="preserve">Anette Røed </v>
      </c>
      <c r="I6" s="1" t="str">
        <f>IFERROR(RIGHT(J6,LEN(J6) - FIND(" og ",J6,1) - 3),"")</f>
        <v>Anne Maren Eilerås</v>
      </c>
      <c r="J6" s="53" t="s">
        <v>180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 x14ac:dyDescent="0.25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 x14ac:dyDescent="0.25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 x14ac:dyDescent="0.25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 x14ac:dyDescent="0.25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 xml:space="preserve">Celine Kjær Molvig </v>
      </c>
      <c r="I29" s="1" t="str">
        <f t="shared" si="2"/>
        <v>Vinos Ismail</v>
      </c>
      <c r="J29" s="54" t="s">
        <v>184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 x14ac:dyDescent="0.25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 x14ac:dyDescent="0.25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 x14ac:dyDescent="0.25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 x14ac:dyDescent="0.25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 x14ac:dyDescent="0.25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 x14ac:dyDescent="0.25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 x14ac:dyDescent="0.25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 x14ac:dyDescent="0.25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 x14ac:dyDescent="0.25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 x14ac:dyDescent="0.25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 x14ac:dyDescent="0.25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 x14ac:dyDescent="0.25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>MID(B71,FIND(" ",B71,1),4)</f>
        <v xml:space="preserve"> G9 </v>
      </c>
      <c r="H71" s="1" t="str">
        <f>IFERROR(LEFT(J71,FIND(" og ",J71,1)),J71)</f>
        <v xml:space="preserve">Selma Henriksen </v>
      </c>
      <c r="I71" s="1" t="str">
        <f>IFERROR(RIGHT(J71,LEN(J71) - FIND(" og ",J71,1) - 3),"")</f>
        <v>Henriette O Foyn</v>
      </c>
      <c r="J71" s="55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>MID(B72,FIND(" ",B72,1),4)</f>
        <v xml:space="preserve"> G9 </v>
      </c>
      <c r="H72" s="1" t="str">
        <f>IFERROR(LEFT(J72,FIND(" og ",J72,1)),J72)</f>
        <v xml:space="preserve">Lotte Bettum </v>
      </c>
      <c r="I72" s="1" t="str">
        <f>IFERROR(RIGHT(J72,LEN(J72) - FIND(" og ",J72,1) - 3),"")</f>
        <v>Selma Henriksen</v>
      </c>
      <c r="J72" s="55" t="s">
        <v>191</v>
      </c>
    </row>
    <row r="73" spans="1:10" x14ac:dyDescent="0.25">
      <c r="A73" s="40"/>
      <c r="G73"/>
      <c r="J73" s="55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"/>
  <sheetViews>
    <sheetView tabSelected="1" workbookViewId="0">
      <selection activeCell="C12" sqref="C12"/>
    </sheetView>
  </sheetViews>
  <sheetFormatPr defaultRowHeight="15" x14ac:dyDescent="0.25"/>
  <cols>
    <col min="1" max="1" width="9.140625" customWidth="1"/>
  </cols>
  <sheetData>
    <row r="1" spans="1:9" ht="60.6" customHeight="1" x14ac:dyDescent="0.25"/>
    <row r="3" spans="1:9" ht="48" customHeight="1" x14ac:dyDescent="0.25">
      <c r="A3" s="58" t="s">
        <v>192</v>
      </c>
      <c r="B3" s="58"/>
      <c r="C3" s="58"/>
      <c r="D3" s="58"/>
      <c r="E3" s="58"/>
      <c r="F3" s="58"/>
      <c r="G3" s="58"/>
      <c r="H3" s="58"/>
      <c r="I3" s="58"/>
    </row>
  </sheetData>
  <mergeCells count="1">
    <mergeCell ref="A3:I3"/>
  </mergeCells>
  <printOptions gridLines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XFD1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Hjelp</vt:lpstr>
      <vt:lpstr>Grunndata</vt:lpstr>
      <vt:lpstr>Kamprapport mal</vt:lpstr>
      <vt:lpstr>Dommere</vt:lpstr>
      <vt:lpstr>Kvitering mal</vt:lpstr>
      <vt:lpstr>Sheet1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2017-04-14T08:18:51Z</dcterms:modified>
</cp:coreProperties>
</file>