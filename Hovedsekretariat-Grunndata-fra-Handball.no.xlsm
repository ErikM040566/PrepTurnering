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activeTab="1"/>
  </bookViews>
  <sheets>
    <sheet name="Hjelp" sheetId="200" r:id="rId1"/>
    <sheet name="Grunndata" sheetId="1" r:id="rId2"/>
    <sheet name="Kamprapport mal" sheetId="43" r:id="rId3"/>
    <sheet name="Kvittering mal" sheetId="236" r:id="rId4"/>
    <sheet name="Deltakerliste 6 mal" sheetId="482" r:id="rId5"/>
    <sheet name="Deltakerliste 4 mal" sheetId="541" r:id="rId6"/>
    <sheet name="Dommere" sheetId="199" r:id="rId7"/>
  </sheets>
  <functionGroups builtInGroupCount="18"/>
  <definedNames>
    <definedName name="_xlnm._FilterDatabase" localSheetId="1" hidden="1">Grunndata!$A$5:$J$72</definedName>
    <definedName name="_xlnm.Print_Area" localSheetId="5">'Deltakerliste 4 mal'!$A$1:$J$39</definedName>
    <definedName name="_xlnm.Print_Area" localSheetId="4">'Deltakerliste 6 mal'!$A$1:$J$39</definedName>
    <definedName name="_xlnm.Print_Area" localSheetId="2">'Kamprapport mal'!$A$1:$I$24</definedName>
    <definedName name="_xlnm.Print_Area" localSheetId="3">'Kvittering mal'!$A$1:$I$33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236" l="1"/>
  <c r="I7" i="1" l="1"/>
  <c r="I8" i="1"/>
  <c r="I9" i="1"/>
  <c r="I10" i="1"/>
  <c r="I54" i="1"/>
  <c r="I47" i="1"/>
  <c r="I11" i="1"/>
  <c r="I12" i="1"/>
  <c r="I13" i="1"/>
  <c r="I14" i="1"/>
  <c r="I23" i="1"/>
  <c r="I24" i="1"/>
  <c r="I18" i="1"/>
  <c r="I19" i="1"/>
  <c r="I25" i="1"/>
  <c r="I26" i="1"/>
  <c r="I27" i="1"/>
  <c r="I71" i="1"/>
  <c r="I72" i="1"/>
  <c r="I28" i="1"/>
  <c r="I29" i="1"/>
  <c r="I22" i="1"/>
  <c r="I15" i="1"/>
  <c r="I16" i="1"/>
  <c r="I17" i="1"/>
  <c r="I37" i="1"/>
  <c r="I38" i="1"/>
  <c r="I65" i="1"/>
  <c r="I66" i="1"/>
  <c r="I39" i="1"/>
  <c r="I40" i="1"/>
  <c r="I53" i="1"/>
  <c r="I61" i="1"/>
  <c r="I41" i="1"/>
  <c r="I42" i="1"/>
  <c r="I69" i="1"/>
  <c r="I70" i="1"/>
  <c r="I43" i="1"/>
  <c r="I44" i="1"/>
  <c r="I20" i="1"/>
  <c r="I21" i="1"/>
  <c r="I45" i="1"/>
  <c r="I46" i="1"/>
  <c r="I36" i="1"/>
  <c r="I62" i="1"/>
  <c r="I63" i="1"/>
  <c r="I64" i="1"/>
  <c r="I30" i="1"/>
  <c r="I31" i="1"/>
  <c r="I55" i="1"/>
  <c r="I56" i="1"/>
  <c r="I48" i="1"/>
  <c r="I49" i="1"/>
  <c r="I67" i="1"/>
  <c r="I68" i="1"/>
  <c r="I32" i="1"/>
  <c r="I33" i="1"/>
  <c r="I57" i="1"/>
  <c r="I58" i="1"/>
  <c r="I50" i="1"/>
  <c r="I51" i="1"/>
  <c r="I34" i="1"/>
  <c r="I35" i="1"/>
  <c r="I59" i="1"/>
  <c r="I60" i="1"/>
  <c r="I52" i="1"/>
  <c r="I6" i="1"/>
  <c r="H7" i="1"/>
  <c r="H8" i="1"/>
  <c r="H9" i="1"/>
  <c r="H10" i="1"/>
  <c r="H54" i="1"/>
  <c r="H47" i="1"/>
  <c r="H11" i="1"/>
  <c r="H12" i="1"/>
  <c r="H13" i="1"/>
  <c r="H14" i="1"/>
  <c r="H23" i="1"/>
  <c r="H24" i="1"/>
  <c r="H18" i="1"/>
  <c r="H19" i="1"/>
  <c r="H25" i="1"/>
  <c r="H26" i="1"/>
  <c r="H27" i="1"/>
  <c r="H71" i="1"/>
  <c r="H72" i="1"/>
  <c r="H28" i="1"/>
  <c r="H29" i="1"/>
  <c r="H22" i="1"/>
  <c r="H15" i="1"/>
  <c r="H16" i="1"/>
  <c r="H17" i="1"/>
  <c r="H37" i="1"/>
  <c r="H38" i="1"/>
  <c r="H65" i="1"/>
  <c r="H66" i="1"/>
  <c r="H39" i="1"/>
  <c r="H40" i="1"/>
  <c r="H53" i="1"/>
  <c r="H61" i="1"/>
  <c r="H41" i="1"/>
  <c r="H42" i="1"/>
  <c r="H69" i="1"/>
  <c r="H70" i="1"/>
  <c r="H43" i="1"/>
  <c r="H44" i="1"/>
  <c r="H20" i="1"/>
  <c r="H21" i="1"/>
  <c r="H45" i="1"/>
  <c r="H46" i="1"/>
  <c r="H36" i="1"/>
  <c r="H62" i="1"/>
  <c r="H63" i="1"/>
  <c r="H64" i="1"/>
  <c r="H30" i="1"/>
  <c r="H31" i="1"/>
  <c r="H55" i="1"/>
  <c r="H56" i="1"/>
  <c r="H48" i="1"/>
  <c r="H49" i="1"/>
  <c r="H67" i="1"/>
  <c r="H68" i="1"/>
  <c r="H32" i="1"/>
  <c r="H33" i="1"/>
  <c r="H57" i="1"/>
  <c r="H58" i="1"/>
  <c r="H50" i="1"/>
  <c r="H51" i="1"/>
  <c r="H34" i="1"/>
  <c r="H35" i="1"/>
  <c r="H59" i="1"/>
  <c r="H60" i="1"/>
  <c r="H52" i="1"/>
  <c r="H6" i="1"/>
  <c r="G7" i="1"/>
  <c r="G8" i="1"/>
  <c r="G9" i="1"/>
  <c r="G10" i="1"/>
  <c r="G54" i="1"/>
  <c r="G47" i="1"/>
  <c r="G11" i="1"/>
  <c r="G12" i="1"/>
  <c r="G13" i="1"/>
  <c r="G14" i="1"/>
  <c r="G23" i="1"/>
  <c r="G24" i="1"/>
  <c r="G18" i="1"/>
  <c r="G19" i="1"/>
  <c r="G25" i="1"/>
  <c r="G26" i="1"/>
  <c r="G27" i="1"/>
  <c r="G71" i="1"/>
  <c r="G72" i="1"/>
  <c r="G28" i="1"/>
  <c r="G29" i="1"/>
  <c r="G22" i="1"/>
  <c r="G15" i="1"/>
  <c r="G16" i="1"/>
  <c r="G17" i="1"/>
  <c r="G37" i="1"/>
  <c r="G38" i="1"/>
  <c r="G65" i="1"/>
  <c r="G66" i="1"/>
  <c r="G39" i="1"/>
  <c r="G40" i="1"/>
  <c r="G53" i="1"/>
  <c r="G61" i="1"/>
  <c r="G41" i="1"/>
  <c r="G42" i="1"/>
  <c r="G69" i="1"/>
  <c r="G70" i="1"/>
  <c r="G43" i="1"/>
  <c r="G44" i="1"/>
  <c r="G20" i="1"/>
  <c r="G21" i="1"/>
  <c r="G45" i="1"/>
  <c r="G46" i="1"/>
  <c r="G36" i="1"/>
  <c r="G62" i="1"/>
  <c r="G63" i="1"/>
  <c r="G64" i="1"/>
  <c r="G30" i="1"/>
  <c r="G31" i="1"/>
  <c r="G55" i="1"/>
  <c r="G56" i="1"/>
  <c r="G48" i="1"/>
  <c r="G49" i="1"/>
  <c r="G67" i="1"/>
  <c r="G68" i="1"/>
  <c r="G32" i="1"/>
  <c r="G33" i="1"/>
  <c r="G57" i="1"/>
  <c r="G58" i="1"/>
  <c r="G50" i="1"/>
  <c r="G51" i="1"/>
  <c r="G34" i="1"/>
  <c r="G35" i="1"/>
  <c r="G59" i="1"/>
  <c r="G60" i="1"/>
  <c r="G52" i="1"/>
  <c r="G6" i="1"/>
</calcChain>
</file>

<file path=xl/sharedStrings.xml><?xml version="1.0" encoding="utf-8"?>
<sst xmlns="http://schemas.openxmlformats.org/spreadsheetml/2006/main" count="550" uniqueCount="228">
  <si>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</si>
  <si>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</si>
  <si>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</si>
  <si>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</si>
  <si>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</si>
  <si>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</si>
  <si>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</si>
  <si>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</si>
  <si>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</si>
  <si>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</si>
  <si>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</si>
  <si>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</si>
  <si>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</si>
  <si>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</si>
  <si>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</si>
  <si>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</si>
  <si>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</si>
  <si>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</si>
  <si>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</si>
  <si>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</si>
  <si>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</si>
  <si>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</si>
  <si>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</si>
  <si>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</si>
  <si>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</si>
  <si>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</si>
  <si>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</si>
  <si>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</si>
  <si>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</si>
  <si>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</si>
  <si>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</si>
  <si>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</si>
  <si>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</si>
  <si>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</si>
  <si>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</si>
  <si>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</si>
  <si>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</si>
  <si>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</si>
  <si>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</si>
  <si>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</si>
  <si>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</si>
  <si>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</si>
  <si>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</si>
  <si>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</si>
  <si>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</si>
  <si>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</si>
  <si>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</si>
  <si>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</si>
  <si>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</si>
  <si>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</si>
  <si>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</si>
  <si>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</si>
  <si>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</si>
  <si>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</si>
  <si>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</si>
  <si>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</si>
  <si>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</si>
  <si>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</si>
  <si>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</si>
  <si>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</si>
  <si>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</si>
  <si>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</si>
  <si>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</si>
  <si>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</si>
  <si>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t>==&gt;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</si>
  <si>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</si>
  <si>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</si>
  <si>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</si>
  <si>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</si>
  <si>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</si>
  <si>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</si>
  <si>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</si>
  <si>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</si>
  <si>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</si>
  <si>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</si>
  <si>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</si>
  <si>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</si>
  <si>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</si>
  <si>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</si>
  <si>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</si>
  <si>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</si>
  <si>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</si>
  <si>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</si>
  <si>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</si>
  <si>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</si>
  <si>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</si>
  <si>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</si>
  <si>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</si>
  <si>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</si>
  <si>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</si>
  <si>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</si>
  <si>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</si>
  <si>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</si>
  <si>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</si>
  <si>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</si>
  <si>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</si>
  <si>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</si>
  <si>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</si>
  <si>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</si>
  <si>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</si>
  <si>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</si>
  <si>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</si>
  <si>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</si>
  <si>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</si>
  <si>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</si>
  <si>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</si>
  <si>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</si>
  <si>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</si>
  <si>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</si>
  <si>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</si>
  <si>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</si>
  <si>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</si>
  <si>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</si>
  <si>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</si>
  <si>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</si>
  <si>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</si>
  <si>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</si>
  <si>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</si>
  <si>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</si>
  <si>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</si>
  <si>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</si>
  <si>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</si>
  <si>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</si>
  <si>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</si>
  <si>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</si>
  <si>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</si>
  <si>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</si>
  <si>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</si>
  <si>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</si>
  <si>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</si>
  <si>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</si>
  <si>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</si>
  <si>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</si>
  <si>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</si>
  <si>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</si>
  <si>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</si>
  <si>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</si>
  <si>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</si>
  <si>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</si>
  <si>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</si>
  <si>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</si>
  <si>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</si>
  <si>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</si>
  <si>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</si>
  <si>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</si>
  <si>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</si>
  <si>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</si>
  <si>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</si>
  <si>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</si>
  <si>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</si>
  <si>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</si>
  <si>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</si>
  <si>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</si>
  <si>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</si>
  <si>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</si>
  <si>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</si>
  <si>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</si>
  <si>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</si>
  <si>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</si>
  <si>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</si>
  <si>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</si>
  <si>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</si>
  <si>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</si>
  <si>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</si>
  <si>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</si>
  <si>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</si>
  <si>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</si>
  <si>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</si>
  <si>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</si>
  <si>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</si>
  <si>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</si>
  <si>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</si>
  <si>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</si>
  <si>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</si>
  <si>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</si>
  <si>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</si>
  <si>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</si>
  <si>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</si>
  <si>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</si>
  <si>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</si>
  <si>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</si>
  <si>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</si>
  <si>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</si>
  <si>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</si>
  <si>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</si>
  <si>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</si>
  <si>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</si>
  <si>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</si>
  <si>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</si>
  <si>
    <t>Klubb:</t>
  </si>
  <si>
    <t>Dato:</t>
  </si>
  <si>
    <t>Hall:</t>
  </si>
  <si>
    <t>Antall kamper med en dommer</t>
  </si>
  <si>
    <t>Antall kamper med to dommere</t>
  </si>
  <si>
    <t xml:space="preserve">Total dommerkostnader: </t>
  </si>
  <si>
    <t>kr =</t>
  </si>
  <si>
    <t>Sted</t>
  </si>
  <si>
    <t>Underskrift arrangør</t>
  </si>
  <si>
    <t>a X kr =</t>
  </si>
  <si>
    <t xml:space="preserve">Antall spillere pr lag:   </t>
  </si>
  <si>
    <r>
      <rPr>
        <b/>
        <sz val="14"/>
        <color rgb="FFFF0000"/>
        <rFont val="Times New Roman"/>
        <family val="1"/>
      </rPr>
      <t xml:space="preserve">Skal sendes på mail til 
</t>
    </r>
    <r>
      <rPr>
        <b/>
        <u/>
        <sz val="14"/>
        <color rgb="FFFF0000"/>
        <rFont val="Times New Roman"/>
        <family val="1"/>
      </rPr>
      <t>nhf.rsn@handball.no</t>
    </r>
    <r>
      <rPr>
        <b/>
        <sz val="14"/>
        <color rgb="FFFF0000"/>
        <rFont val="Times New Roman"/>
        <family val="1"/>
      </rPr>
      <t xml:space="preserve">
innen 3 virkedager!</t>
    </r>
    <r>
      <rPr>
        <b/>
        <sz val="14"/>
        <color theme="1"/>
        <rFont val="Times New Roman"/>
        <family val="1"/>
      </rPr>
      <t xml:space="preserve">
Sammen med kamprapportene.</t>
    </r>
    <r>
      <rPr>
        <sz val="11"/>
        <color theme="1"/>
        <rFont val="Calibri"/>
        <family val="2"/>
        <scheme val="minor"/>
      </rPr>
      <t xml:space="preserve">
</t>
    </r>
  </si>
  <si>
    <t>Deltagerliste 6’er-håndball (J/G 10 år)</t>
  </si>
  <si>
    <r>
      <t>à</t>
    </r>
    <r>
      <rPr>
        <sz val="12"/>
        <color rgb="FF000000"/>
        <rFont val="Palatino Linotype"/>
        <family val="1"/>
      </rPr>
      <t xml:space="preserve"> leveres til arrangør før første kamp.</t>
    </r>
  </si>
  <si>
    <t>Lag:</t>
  </si>
  <si>
    <t>Aldersklasse:</t>
  </si>
  <si>
    <t>Trener:</t>
  </si>
  <si>
    <t>Mobil:</t>
  </si>
  <si>
    <t>Mail:</t>
  </si>
  <si>
    <t>Det skal nå kun fylles ut et felles skjema for alle lag i samme årsklasse/kjønn.</t>
  </si>
  <si>
    <t>Nr.</t>
  </si>
  <si>
    <t>Fornavn og etternavn</t>
  </si>
  <si>
    <t>Fødselsår</t>
  </si>
  <si>
    <t>Husk at det kan være maks 12 spillere på hvert lag i 6’er håndball, men det 
oppfordres å ikke ha flere enn 8 for at alle skal få spilletid.
Det er fri spillerflyt mellom lag i samme og tilstøtende klasser i Region Sør.
-Om det er for få linjer over så er det bare å fylle ut videre nedover på neste side.</t>
  </si>
  <si>
    <r>
      <rPr>
        <sz val="7.5"/>
        <color rgb="FF00B0F0"/>
        <rFont val="PalatinoLinotype"/>
      </rPr>
      <t xml:space="preserve">Telefon: +47 32 01 61 22 | Internett: www.handball.no | E-post: nhf.rsn@handball.no | 
Postadresse og besøksadresse: Norges Håndballforbund Region Sør, Idrettens Hus, Schwartsgate 6, 3043 Drammen | 
Bankgiro: 2310 07 46875 | Org.nr: 984 824 025 MVA  </t>
    </r>
    <r>
      <rPr>
        <sz val="12"/>
        <color theme="1"/>
        <rFont val="PalatinoLinotype"/>
      </rPr>
      <t xml:space="preserve">
</t>
    </r>
  </si>
  <si>
    <t xml:space="preserve">    </t>
  </si>
  <si>
    <t>Deltagerliste 4’er-håndball (J/G 6-9 år)</t>
  </si>
  <si>
    <t>Antall lag:</t>
  </si>
  <si>
    <t>Husk at det kan være maks 8 spillere på hvert lag i 4’er håndball, men det anbefales 
ikke mer enn 6 for at alle skal få spilletid.
Det er fri spillerflyt mellom lag i samme og tilstøtende klasser i Region Sør.
-Om det er for få linjer over så er det bare å fylle ut videre nedover på neste side.</t>
  </si>
  <si>
    <t>Sorter grunndata etter bane slik at det er enklere å kopiere inn dommerpar</t>
  </si>
  <si>
    <r>
      <t>Klikk på "</t>
    </r>
    <r>
      <rPr>
        <b/>
        <sz val="11"/>
        <color theme="1"/>
        <rFont val="Calibri"/>
        <family val="2"/>
        <scheme val="minor"/>
      </rPr>
      <t>Generer rapporter</t>
    </r>
    <r>
      <rPr>
        <sz val="11"/>
        <color theme="1"/>
        <rFont val="Calibri"/>
        <family val="2"/>
        <scheme val="minor"/>
      </rPr>
      <t>"</t>
    </r>
  </si>
  <si>
    <t>Det genereres da faner med følgende rapporter:</t>
  </si>
  <si>
    <t>*</t>
  </si>
  <si>
    <t>Kamprapport pr bane og klasse</t>
  </si>
  <si>
    <t>Banedagbok pr bane</t>
  </si>
  <si>
    <t>Oversikt over alle klubber pr klasse med antall lag, antall kamper, antall kamper med 1 dommer, antall kamper med 2 dommere og sum å betale for dommere</t>
  </si>
  <si>
    <t>Kvittering for dommerbetalinger pr klubb og klasse</t>
  </si>
  <si>
    <t>Deltakerliste pr klubb og klasse (med den infoen vi har)</t>
  </si>
  <si>
    <t>Klikker en på "Slett rapporter" slettes fanene automatisk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</si>
</sst>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Palatino Linotype"/>
      <family val="1"/>
    </font>
    <font>
      <sz val="11"/>
      <color rgb="FF000000"/>
      <name val="Calibri"/>
      <family val="2"/>
    </font>
    <font>
      <b/>
      <sz val="16"/>
      <color theme="1"/>
      <name val="Palatino Linotype"/>
      <family val="1"/>
    </font>
    <font>
      <b/>
      <sz val="12"/>
      <color theme="1"/>
      <name val="Palatino Linotype"/>
      <family val="1"/>
    </font>
    <font>
      <b/>
      <i/>
      <sz val="12"/>
      <color theme="1"/>
      <name val="Palatino Linotype"/>
      <family val="1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4"/>
      <color rgb="FFFF0000"/>
      <name val="Times New Roman"/>
      <family val="1"/>
    </font>
    <font>
      <b/>
      <u/>
      <sz val="14"/>
      <color rgb="FFFF0000"/>
      <name val="Times New Roman"/>
      <family val="1"/>
    </font>
    <font>
      <sz val="11"/>
      <color theme="1"/>
      <name val="Calibri"/>
      <family val="1"/>
      <scheme val="minor"/>
    </font>
    <font>
      <sz val="16"/>
      <color rgb="FF0098DB"/>
      <name val="Palatino Linotype"/>
      <family val="1"/>
    </font>
    <font>
      <sz val="12"/>
      <color rgb="FF000000"/>
      <name val="Palatino Linotype"/>
      <family val="1"/>
    </font>
    <font>
      <sz val="12"/>
      <color rgb="FF000000"/>
      <name val="Wingdings"/>
      <charset val="2"/>
    </font>
    <font>
      <b/>
      <i/>
      <sz val="12"/>
      <color rgb="FF000000"/>
      <name val="Palatino Linotype"/>
      <family val="1"/>
    </font>
    <font>
      <b/>
      <sz val="12"/>
      <color rgb="FF000000"/>
      <name val="Palatino Linotype"/>
      <family val="1"/>
    </font>
    <font>
      <sz val="12"/>
      <color theme="1"/>
      <name val="PalatinoLinotype"/>
    </font>
    <font>
      <sz val="7.5"/>
      <color rgb="FF00B0F0"/>
      <name val="PalatinoLinotype"/>
    </font>
    <font>
      <b/>
      <sz val="14"/>
      <color rgb="FF000000"/>
      <name val="Palatino Linotype"/>
      <family val="1"/>
    </font>
    <font>
      <b/>
      <sz val="14"/>
      <color theme="1"/>
      <name val="Palatino Linotype"/>
      <family val="1"/>
    </font>
    <font>
      <sz val="12"/>
      <color theme="1"/>
      <name val="Palatino Linotype"/>
      <family val="1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6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12" fillId="0" borderId="0"/>
    <xf numFmtId="0" fontId="17" fillId="0" borderId="0" applyNumberFormat="0" applyFill="0" applyBorder="0" applyAlignment="0" applyProtection="0"/>
  </cellStyleXfs>
  <cellXfs count="99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4" fillId="0" borderId="0" xfId="0" applyNumberFormat="1" applyFont="1" applyAlignment="1">
      <alignment horizontal="left"/>
    </xf>
    <xf numFmtId="0" fontId="14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6" fillId="0" borderId="0" xfId="0" applyFont="1"/>
    <xf numFmtId="0" fontId="17" fillId="0" borderId="0" xfId="2"/>
    <xf numFmtId="0" fontId="0" fillId="0" borderId="0" xfId="0" applyFont="1"/>
    <xf numFmtId="0" fontId="15" fillId="0" borderId="0" xfId="0" applyFont="1"/>
    <xf numFmtId="0" fontId="13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4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3" fillId="0" borderId="0" xfId="1" applyFont="1" applyAlignment="1" applyProtection="1">
      <alignment vertical="top" wrapText="1" readingOrder="1"/>
      <protection locked="0"/>
    </xf>
    <xf numFmtId="0" fontId="13" fillId="0" borderId="0" xfId="1" applyFont="1" applyAlignment="1" applyProtection="1">
      <alignment vertical="top" wrapText="1" readingOrder="1"/>
      <protection locked="0"/>
    </xf>
    <xf numFmtId="0" fontId="13" fillId="0" borderId="0" xfId="1" applyFont="1" applyAlignment="1" applyProtection="1">
      <alignment vertical="top" wrapText="1" readingOrder="1"/>
      <protection locked="0"/>
    </xf>
    <xf numFmtId="0" fontId="18" fillId="0" borderId="0" xfId="0" applyFont="1" applyAlignment="1">
      <alignment horizontal="center" vertical="center" wrapText="1"/>
    </xf>
    <xf numFmtId="0" fontId="20" fillId="0" borderId="0" xfId="0" applyFont="1"/>
    <xf numFmtId="0" fontId="0" fillId="0" borderId="24" xfId="0" applyBorder="1"/>
    <xf numFmtId="0" fontId="20" fillId="0" borderId="0" xfId="0" applyFont="1" applyAlignment="1">
      <alignment horizontal="right"/>
    </xf>
    <xf numFmtId="0" fontId="21" fillId="0" borderId="0" xfId="0" applyFont="1" applyBorder="1" applyAlignment="1">
      <alignment horizontal="left"/>
    </xf>
    <xf numFmtId="0" fontId="0" fillId="0" borderId="0" xfId="0" applyBorder="1"/>
    <xf numFmtId="0" fontId="20" fillId="0" borderId="24" xfId="0" applyFont="1" applyBorder="1" applyAlignment="1">
      <alignment horizontal="right"/>
    </xf>
    <xf numFmtId="0" fontId="20" fillId="0" borderId="24" xfId="0" applyFont="1" applyBorder="1" applyAlignment="1">
      <alignment horizontal="center"/>
    </xf>
    <xf numFmtId="0" fontId="28" fillId="0" borderId="0" xfId="0" applyFont="1"/>
    <xf numFmtId="0" fontId="20" fillId="0" borderId="24" xfId="0" applyFont="1" applyBorder="1" applyAlignment="1">
      <alignment horizontal="left"/>
    </xf>
    <xf numFmtId="0" fontId="20" fillId="0" borderId="0" xfId="0" applyFont="1" applyBorder="1"/>
    <xf numFmtId="0" fontId="20" fillId="0" borderId="0" xfId="0" applyFont="1" applyBorder="1" applyAlignment="1">
      <alignment horizontal="left"/>
    </xf>
    <xf numFmtId="0" fontId="20" fillId="0" borderId="0" xfId="0" applyFont="1" applyBorder="1" applyAlignment="1">
      <alignment horizontal="center"/>
    </xf>
    <xf numFmtId="0" fontId="20" fillId="0" borderId="0" xfId="0" applyFont="1" applyBorder="1" applyAlignment="1">
      <alignment horizontal="right"/>
    </xf>
    <xf numFmtId="0" fontId="21" fillId="0" borderId="0" xfId="0" applyFont="1" applyBorder="1" applyAlignment="1">
      <alignment horizontal="left" vertical="center"/>
    </xf>
    <xf numFmtId="0" fontId="29" fillId="0" borderId="0" xfId="0" applyFont="1" applyBorder="1" applyAlignment="1">
      <alignment horizontal="left" vertical="top"/>
    </xf>
    <xf numFmtId="0" fontId="30" fillId="0" borderId="0" xfId="0" applyFont="1" applyAlignment="1">
      <alignment vertical="center"/>
    </xf>
    <xf numFmtId="0" fontId="31" fillId="0" borderId="0" xfId="0" applyFont="1" applyAlignment="1">
      <alignment vertical="center"/>
    </xf>
    <xf numFmtId="0" fontId="32" fillId="0" borderId="3" xfId="0" applyFont="1" applyBorder="1"/>
    <xf numFmtId="0" fontId="3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/>
    </xf>
    <xf numFmtId="0" fontId="29" fillId="0" borderId="24" xfId="0" applyFont="1" applyBorder="1" applyAlignment="1">
      <alignment horizontal="left" vertical="center"/>
    </xf>
    <xf numFmtId="0" fontId="36" fillId="0" borderId="24" xfId="0" applyFont="1" applyBorder="1" applyAlignment="1">
      <alignment horizontal="center" vertical="center"/>
    </xf>
    <xf numFmtId="0" fontId="29" fillId="0" borderId="24" xfId="0" applyFont="1" applyBorder="1" applyAlignment="1">
      <alignment horizontal="right" vertical="center"/>
    </xf>
    <xf numFmtId="0" fontId="37" fillId="0" borderId="24" xfId="0" applyFont="1" applyBorder="1" applyAlignment="1">
      <alignment horizontal="left" vertical="center"/>
    </xf>
    <xf numFmtId="0" fontId="37" fillId="0" borderId="24" xfId="0" applyFont="1" applyBorder="1" applyAlignment="1">
      <alignment horizontal="center" vertical="center"/>
    </xf>
    <xf numFmtId="20" fontId="14" fillId="0" borderId="0" xfId="0" applyNumberFormat="1" applyFont="1" applyBorder="1" applyAlignment="1">
      <alignment horizontal="left"/>
    </xf>
    <xf numFmtId="20" fontId="14" fillId="0" borderId="2" xfId="0" applyNumberFormat="1" applyFont="1" applyBorder="1" applyAlignment="1">
      <alignment horizontal="left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21" fillId="0" borderId="25" xfId="0" applyFont="1" applyBorder="1" applyAlignment="1">
      <alignment horizontal="center" vertical="top"/>
    </xf>
    <xf numFmtId="0" fontId="21" fillId="0" borderId="25" xfId="0" applyFont="1" applyBorder="1" applyAlignment="1">
      <alignment horizontal="left" vertical="center"/>
    </xf>
    <xf numFmtId="0" fontId="18" fillId="0" borderId="0" xfId="0" applyFont="1" applyAlignment="1">
      <alignment horizontal="center" vertical="center" wrapText="1"/>
    </xf>
    <xf numFmtId="0" fontId="20" fillId="0" borderId="24" xfId="0" applyFont="1" applyBorder="1" applyAlignment="1">
      <alignment horizontal="left"/>
    </xf>
    <xf numFmtId="0" fontId="22" fillId="0" borderId="0" xfId="0" applyFont="1" applyBorder="1" applyAlignment="1">
      <alignment horizontal="center" vertical="top"/>
    </xf>
    <xf numFmtId="0" fontId="21" fillId="0" borderId="25" xfId="0" applyFont="1" applyBorder="1" applyAlignment="1">
      <alignment horizontal="left"/>
    </xf>
    <xf numFmtId="0" fontId="22" fillId="0" borderId="0" xfId="0" applyFont="1" applyBorder="1" applyAlignment="1">
      <alignment horizontal="center"/>
    </xf>
    <xf numFmtId="0" fontId="36" fillId="0" borderId="24" xfId="0" applyFont="1" applyBorder="1" applyAlignment="1">
      <alignment horizontal="left" vertical="center"/>
    </xf>
    <xf numFmtId="0" fontId="29" fillId="0" borderId="24" xfId="0" applyFont="1" applyBorder="1" applyAlignment="1">
      <alignment horizontal="left" vertical="center"/>
    </xf>
    <xf numFmtId="0" fontId="32" fillId="0" borderId="3" xfId="0" applyFont="1" applyBorder="1" applyAlignment="1">
      <alignment horizontal="left"/>
    </xf>
    <xf numFmtId="0" fontId="27" fillId="0" borderId="0" xfId="0" applyFont="1" applyAlignment="1">
      <alignment horizontal="left" vertical="top" wrapText="1"/>
    </xf>
    <xf numFmtId="0" fontId="35" fillId="0" borderId="24" xfId="0" applyFont="1" applyBorder="1" applyAlignment="1">
      <alignment horizontal="left" vertical="center"/>
    </xf>
    <xf numFmtId="0" fontId="33" fillId="0" borderId="25" xfId="0" applyFont="1" applyBorder="1" applyAlignment="1">
      <alignment horizontal="left" vertical="top" wrapText="1"/>
    </xf>
    <xf numFmtId="0" fontId="33" fillId="0" borderId="0" xfId="0" applyFont="1" applyAlignment="1">
      <alignment horizontal="left" vertical="top" wrapText="1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3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14</xdr:col>
      <xdr:colOff>560971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18</xdr:col>
      <xdr:colOff>65428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10</xdr:col>
      <xdr:colOff>342229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11</xdr:col>
      <xdr:colOff>304070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118</xdr:row>
      <xdr:rowOff>104775</xdr:rowOff>
    </xdr:from>
    <xdr:to>
      <xdr:col>14</xdr:col>
      <xdr:colOff>27643</xdr:colOff>
      <xdr:row>127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130</xdr:row>
      <xdr:rowOff>104775</xdr:rowOff>
    </xdr:from>
    <xdr:to>
      <xdr:col>14</xdr:col>
      <xdr:colOff>246690</xdr:colOff>
      <xdr:row>140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166</xdr:row>
      <xdr:rowOff>0</xdr:rowOff>
    </xdr:from>
    <xdr:to>
      <xdr:col>22</xdr:col>
      <xdr:colOff>7981</xdr:colOff>
      <xdr:row>167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28575</xdr:rowOff>
    </xdr:from>
    <xdr:to>
      <xdr:col>18</xdr:col>
      <xdr:colOff>522573</xdr:colOff>
      <xdr:row>11</xdr:row>
      <xdr:rowOff>142765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19125" y="1438275"/>
          <a:ext cx="10419048" cy="87619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12</xdr:col>
      <xdr:colOff>408743</xdr:colOff>
      <xdr:row>115</xdr:row>
      <xdr:rowOff>28476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1221700"/>
          <a:ext cx="6657143" cy="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144</xdr:row>
      <xdr:rowOff>0</xdr:rowOff>
    </xdr:from>
    <xdr:to>
      <xdr:col>14</xdr:col>
      <xdr:colOff>75257</xdr:colOff>
      <xdr:row>153</xdr:row>
      <xdr:rowOff>123595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609600" y="27508200"/>
          <a:ext cx="7542857" cy="18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142875</xdr:rowOff>
        </xdr:from>
        <xdr:to>
          <xdr:col>8</xdr:col>
          <xdr:colOff>1704975</xdr:colOff>
          <xdr:row>1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7" name="Picture 6" descr="NHF-logo_RegionSor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0016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82867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3</xdr:col>
      <xdr:colOff>48975</xdr:colOff>
      <xdr:row>0</xdr:row>
      <xdr:rowOff>761974</xdr:rowOff>
    </xdr:to>
    <xdr:pic>
      <xdr:nvPicPr>
        <xdr:cNvPr id="2" name="Picture 1" descr="NHF-logo_RegionSor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"/>
          <a:ext cx="2154000" cy="761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361950</xdr:colOff>
      <xdr:row>38</xdr:row>
      <xdr:rowOff>0</xdr:rowOff>
    </xdr:from>
    <xdr:to>
      <xdr:col>15</xdr:col>
      <xdr:colOff>219075</xdr:colOff>
      <xdr:row>38</xdr:row>
      <xdr:rowOff>361950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71925" y="9391650"/>
          <a:ext cx="5762625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71"/>
  <sheetViews>
    <sheetView topLeftCell="A22" workbookViewId="0">
      <selection activeCell="B2" sqref="B2"/>
    </sheetView>
  </sheetViews>
  <sheetFormatPr defaultRowHeight="15"/>
  <cols>
    <col min="2" max="2" width="2.28515625" customWidth="1"/>
  </cols>
  <sheetData>
    <row r="3" spans="2:4" ht="21">
      <c r="B3" s="44" t="s">
        <v>55</v>
      </c>
    </row>
    <row r="5" spans="2:4">
      <c r="B5" t="s">
        <v>54</v>
      </c>
    </row>
    <row r="7" spans="2:4">
      <c r="B7" t="s">
        <v>53</v>
      </c>
    </row>
    <row r="14" spans="2:4">
      <c r="C14" t="s">
        <v>56</v>
      </c>
      <c r="D14" s="45" t="s">
        <v>57</v>
      </c>
    </row>
    <row r="50" spans="2:2">
      <c r="B50" t="s">
        <v>58</v>
      </c>
    </row>
    <row r="73" spans="2:12">
      <c r="B73" t="s">
        <v>59</v>
      </c>
    </row>
    <row r="75" spans="2:12">
      <c r="L75" t="s">
        <v>60</v>
      </c>
    </row>
    <row r="95" spans="2:2">
      <c r="B95" s="47" t="s">
        <v>61</v>
      </c>
    </row>
    <row r="99" spans="2:12">
      <c r="L99" s="49" t="s">
        <v>64</v>
      </c>
    </row>
    <row r="110" spans="2:12">
      <c r="B110" s="47" t="s">
        <v>218</v>
      </c>
    </row>
    <row r="118" spans="2:2">
      <c r="B118" s="47" t="s">
        <v>62</v>
      </c>
    </row>
    <row r="130" spans="2:2">
      <c r="B130" s="46" t="s">
        <v>63</v>
      </c>
    </row>
    <row r="143" spans="2:2">
      <c r="B143" t="s">
        <v>219</v>
      </c>
    </row>
    <row r="157" spans="2:3">
      <c r="B157" s="47" t="s">
        <v>220</v>
      </c>
    </row>
    <row r="158" spans="2:3">
      <c r="B158" t="s">
        <v>221</v>
      </c>
      <c r="C158" t="s">
        <v>223</v>
      </c>
    </row>
    <row r="159" spans="2:3">
      <c r="B159" t="s">
        <v>221</v>
      </c>
      <c r="C159" t="s">
        <v>222</v>
      </c>
    </row>
    <row r="160" spans="2:3">
      <c r="B160" t="s">
        <v>221</v>
      </c>
      <c r="C160" t="s">
        <v>224</v>
      </c>
    </row>
    <row r="161" spans="2:3">
      <c r="B161" t="s">
        <v>221</v>
      </c>
      <c r="C161" t="s">
        <v>225</v>
      </c>
    </row>
    <row r="162" spans="2:3">
      <c r="B162" t="s">
        <v>221</v>
      </c>
      <c r="C162" t="s">
        <v>226</v>
      </c>
    </row>
    <row r="171" spans="2:3">
      <c r="B171" t="s">
        <v>227</v>
      </c>
    </row>
  </sheetData>
  <hyperlinks>
    <hyperlink ref="D1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tabSelected="1" workbookViewId="0">
      <selection sqref="A1:B1"/>
    </sheetView>
  </sheetViews>
  <sheetFormatPr defaultColWidth="9.140625" defaultRowHeight="15"/>
  <cols>
    <col min="1" max="1" width="23.7109375" style="1" customWidth="1"/>
    <col min="2" max="2" width="30.85546875" style="1" customWidth="1"/>
    <col min="3" max="3" width="12.7109375" style="34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>
      <c r="A1" s="4" t="s">
        <v>9</v>
      </c>
      <c r="B1" s="41">
        <v>42827</v>
      </c>
      <c r="C1" s="33"/>
      <c r="D1" s="32" t="s">
        <v>16</v>
      </c>
      <c r="E1" s="42" t="s">
        <v>52</v>
      </c>
      <c r="F1" s="32" t="s">
        <v>199</v>
      </c>
      <c r="G1" s="43">
        <v>6</v>
      </c>
    </row>
    <row r="2" spans="1:10">
      <c r="A2" s="4" t="s">
        <v>10</v>
      </c>
      <c r="B2" s="42">
        <v>20</v>
      </c>
      <c r="D2" s="32" t="s">
        <v>17</v>
      </c>
      <c r="E2" s="43">
        <v>3</v>
      </c>
    </row>
    <row r="3" spans="1:10">
      <c r="A3" s="4" t="s">
        <v>18</v>
      </c>
      <c r="B3" s="42">
        <v>5</v>
      </c>
      <c r="D3" s="4" t="s">
        <v>51</v>
      </c>
      <c r="E3" s="43">
        <v>80</v>
      </c>
    </row>
    <row r="4" spans="1:10">
      <c r="C4" s="1"/>
    </row>
    <row r="5" spans="1:10" ht="15.75">
      <c r="A5" s="2" t="s">
        <v>0</v>
      </c>
      <c r="B5" s="2" t="s">
        <v>1</v>
      </c>
      <c r="C5" s="35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>
      <c r="A6" s="3">
        <v>0.375</v>
      </c>
      <c r="B6" t="s">
        <v>65</v>
      </c>
      <c r="C6" s="36" t="s">
        <v>110</v>
      </c>
      <c r="D6" t="s">
        <v>66</v>
      </c>
      <c r="E6" t="s">
        <v>67</v>
      </c>
      <c r="F6" t="s">
        <v>68</v>
      </c>
      <c r="G6" t="str">
        <f>MID(B6,FIND(" ",B6,1),4)</f>
        <v xml:space="preserve"> G10</v>
      </c>
      <c r="H6" s="1" t="str">
        <f>IFERROR(LEFT(J6,FIND(" og ",J6,1)),J6)</f>
        <v>Anette Røed</v>
      </c>
      <c r="I6" s="1" t="str">
        <f>IFERROR(RIGHT(J6,LEN(J6) - FIND(" og ",J6,1) - 3),"")</f>
        <v/>
      </c>
      <c r="J6" s="52" t="s">
        <v>46</v>
      </c>
    </row>
    <row r="7" spans="1:10">
      <c r="A7" s="3">
        <v>0.3923611111111111</v>
      </c>
      <c r="B7" t="s">
        <v>65</v>
      </c>
      <c r="C7" s="36" t="s">
        <v>113</v>
      </c>
      <c r="D7" t="s">
        <v>66</v>
      </c>
      <c r="E7" t="s">
        <v>77</v>
      </c>
      <c r="F7" t="s">
        <v>78</v>
      </c>
      <c r="G7" t="str">
        <f>MID(B7,FIND(" ",B7,1),4)</f>
        <v xml:space="preserve"> G10</v>
      </c>
      <c r="H7" s="1" t="str">
        <f>IFERROR(LEFT(J7,FIND(" og ",J7,1)),J7)</f>
        <v xml:space="preserve">Anette Røed </v>
      </c>
      <c r="I7" s="1" t="str">
        <f>IFERROR(RIGHT(J7,LEN(J7) - FIND(" og ",J7,1) - 3),"")</f>
        <v>Anne Maren Eilerås</v>
      </c>
      <c r="J7" s="52" t="s">
        <v>177</v>
      </c>
    </row>
    <row r="8" spans="1:10">
      <c r="A8" s="3">
        <v>0.40972222222222227</v>
      </c>
      <c r="B8" t="s">
        <v>65</v>
      </c>
      <c r="C8" s="36" t="s">
        <v>116</v>
      </c>
      <c r="D8" t="s">
        <v>66</v>
      </c>
      <c r="E8" t="s">
        <v>83</v>
      </c>
      <c r="F8" t="s">
        <v>84</v>
      </c>
      <c r="G8" t="str">
        <f>MID(B8,FIND(" ",B8,1),4)</f>
        <v xml:space="preserve"> G10</v>
      </c>
      <c r="H8" s="1" t="str">
        <f>IFERROR(LEFT(J8,FIND(" og ",J8,1)),J8)</f>
        <v xml:space="preserve">Anette Røed </v>
      </c>
      <c r="I8" s="1" t="str">
        <f>IFERROR(RIGHT(J8,LEN(J8) - FIND(" og ",J8,1) - 3),"")</f>
        <v>Anne Maren Eilerås</v>
      </c>
      <c r="J8" s="52" t="s">
        <v>177</v>
      </c>
    </row>
    <row r="9" spans="1:10">
      <c r="A9" s="3">
        <v>0.42708333333333331</v>
      </c>
      <c r="B9" t="s">
        <v>65</v>
      </c>
      <c r="C9" s="36" t="s">
        <v>119</v>
      </c>
      <c r="D9" t="s">
        <v>66</v>
      </c>
      <c r="E9" t="s">
        <v>89</v>
      </c>
      <c r="F9" t="s">
        <v>77</v>
      </c>
      <c r="G9" t="str">
        <f>MID(B9,FIND(" ",B9,1),4)</f>
        <v xml:space="preserve"> G10</v>
      </c>
      <c r="H9" s="1" t="str">
        <f>IFERROR(LEFT(J9,FIND(" og ",J9,1)),J9)</f>
        <v xml:space="preserve">Anette Røed </v>
      </c>
      <c r="I9" s="1" t="str">
        <f>IFERROR(RIGHT(J9,LEN(J9) - FIND(" og ",J9,1) - 3),"")</f>
        <v>Anne Maren Eilerås</v>
      </c>
      <c r="J9" s="52" t="s">
        <v>177</v>
      </c>
    </row>
    <row r="10" spans="1:10">
      <c r="A10" s="3">
        <v>0.44444444444444442</v>
      </c>
      <c r="B10" t="s">
        <v>65</v>
      </c>
      <c r="C10" s="36" t="s">
        <v>122</v>
      </c>
      <c r="D10" t="s">
        <v>66</v>
      </c>
      <c r="E10" t="s">
        <v>68</v>
      </c>
      <c r="F10" t="s">
        <v>83</v>
      </c>
      <c r="G10" t="str">
        <f>MID(B10,FIND(" ",B10,1),4)</f>
        <v xml:space="preserve"> G10</v>
      </c>
      <c r="H10" s="1" t="str">
        <f>IFERROR(LEFT(J10,FIND(" og ",J10,1)),J10)</f>
        <v xml:space="preserve">Anette Røed </v>
      </c>
      <c r="I10" s="1" t="str">
        <f>IFERROR(RIGHT(J10,LEN(J10) - FIND(" og ",J10,1) - 3),"")</f>
        <v>Anne Maren Eilerås</v>
      </c>
      <c r="J10" s="52" t="s">
        <v>177</v>
      </c>
    </row>
    <row r="11" spans="1:10">
      <c r="A11" s="3">
        <v>0.50694444444444442</v>
      </c>
      <c r="B11" t="s">
        <v>65</v>
      </c>
      <c r="C11" s="36" t="s">
        <v>131</v>
      </c>
      <c r="D11" t="s">
        <v>66</v>
      </c>
      <c r="E11" t="s">
        <v>67</v>
      </c>
      <c r="F11" t="s">
        <v>89</v>
      </c>
      <c r="G11" t="str">
        <f>MID(B11,FIND(" ",B11,1),4)</f>
        <v xml:space="preserve"> G10</v>
      </c>
      <c r="H11" s="1" t="str">
        <f>IFERROR(LEFT(J11,FIND(" og ",J11,1)),J11)</f>
        <v xml:space="preserve">Anette Røed </v>
      </c>
      <c r="I11" s="1" t="str">
        <f>IFERROR(RIGHT(J11,LEN(J11) - FIND(" og ",J11,1) - 3),"")</f>
        <v>Anne Maren Eilerås</v>
      </c>
      <c r="J11" s="52" t="s">
        <v>177</v>
      </c>
    </row>
    <row r="12" spans="1:10">
      <c r="A12" s="3">
        <v>0.52430555555555558</v>
      </c>
      <c r="B12" t="s">
        <v>65</v>
      </c>
      <c r="C12" s="36" t="s">
        <v>134</v>
      </c>
      <c r="D12" t="s">
        <v>66</v>
      </c>
      <c r="E12" t="s">
        <v>83</v>
      </c>
      <c r="F12" t="s">
        <v>78</v>
      </c>
      <c r="G12" t="str">
        <f>MID(B12,FIND(" ",B12,1),4)</f>
        <v xml:space="preserve"> G10</v>
      </c>
      <c r="H12" s="1" t="str">
        <f>IFERROR(LEFT(J12,FIND(" og ",J12,1)),J12)</f>
        <v xml:space="preserve">Anette Røed </v>
      </c>
      <c r="I12" s="1" t="str">
        <f>IFERROR(RIGHT(J12,LEN(J12) - FIND(" og ",J12,1) - 3),"")</f>
        <v>Anne Maren Eilerås</v>
      </c>
      <c r="J12" s="52" t="s">
        <v>177</v>
      </c>
    </row>
    <row r="13" spans="1:10">
      <c r="A13" s="3">
        <v>0.54166666666666663</v>
      </c>
      <c r="B13" t="s">
        <v>65</v>
      </c>
      <c r="C13" s="36" t="s">
        <v>137</v>
      </c>
      <c r="D13" t="s">
        <v>66</v>
      </c>
      <c r="E13" t="s">
        <v>68</v>
      </c>
      <c r="F13" t="s">
        <v>84</v>
      </c>
      <c r="G13" t="str">
        <f>MID(B13,FIND(" ",B13,1),4)</f>
        <v xml:space="preserve"> G10</v>
      </c>
      <c r="H13" s="1" t="str">
        <f>IFERROR(LEFT(J13,FIND(" og ",J13,1)),J13)</f>
        <v xml:space="preserve">Anette Røed </v>
      </c>
      <c r="I13" s="1" t="str">
        <f>IFERROR(RIGHT(J13,LEN(J13) - FIND(" og ",J13,1) - 3),"")</f>
        <v>Anne Maren Eilerås</v>
      </c>
      <c r="J13" s="52" t="s">
        <v>177</v>
      </c>
    </row>
    <row r="14" spans="1:10">
      <c r="A14" s="3">
        <v>0.55902777777777779</v>
      </c>
      <c r="B14" t="s">
        <v>65</v>
      </c>
      <c r="C14" s="36" t="s">
        <v>140</v>
      </c>
      <c r="D14" t="s">
        <v>66</v>
      </c>
      <c r="E14" t="s">
        <v>78</v>
      </c>
      <c r="F14" t="s">
        <v>89</v>
      </c>
      <c r="G14" t="str">
        <f>MID(B14,FIND(" ",B14,1),4)</f>
        <v xml:space="preserve"> G10</v>
      </c>
      <c r="H14" s="1" t="str">
        <f>IFERROR(LEFT(J14,FIND(" og ",J14,1)),J14)</f>
        <v xml:space="preserve">Anette Røed </v>
      </c>
      <c r="I14" s="1" t="str">
        <f>IFERROR(RIGHT(J14,LEN(J14) - FIND(" og ",J14,1) - 3),"")</f>
        <v>Anne Maren Eilerås</v>
      </c>
      <c r="J14" s="52" t="s">
        <v>177</v>
      </c>
    </row>
    <row r="15" spans="1:10">
      <c r="A15" s="3">
        <v>0.3923611111111111</v>
      </c>
      <c r="B15" t="s">
        <v>69</v>
      </c>
      <c r="C15" s="36" t="s">
        <v>114</v>
      </c>
      <c r="D15" t="s">
        <v>70</v>
      </c>
      <c r="E15" t="s">
        <v>79</v>
      </c>
      <c r="F15" t="s">
        <v>80</v>
      </c>
      <c r="G15" t="str">
        <f>MID(B15,FIND(" ",B15,1),4)</f>
        <v xml:space="preserve"> G10</v>
      </c>
      <c r="H15" s="1" t="str">
        <f>IFERROR(LEFT(J15,FIND(" og ",J15,1)),J15)</f>
        <v>Celine Kjær Molvig</v>
      </c>
      <c r="I15" s="1" t="str">
        <f>IFERROR(RIGHT(J15,LEN(J15) - FIND(" og ",J15,1) - 3),"")</f>
        <v/>
      </c>
      <c r="J15" s="52" t="s">
        <v>38</v>
      </c>
    </row>
    <row r="16" spans="1:10">
      <c r="A16" s="3">
        <v>0.40972222222222227</v>
      </c>
      <c r="B16" t="s">
        <v>69</v>
      </c>
      <c r="C16" s="36" t="s">
        <v>117</v>
      </c>
      <c r="D16" t="s">
        <v>70</v>
      </c>
      <c r="E16" t="s">
        <v>85</v>
      </c>
      <c r="F16" t="s">
        <v>86</v>
      </c>
      <c r="G16" t="str">
        <f>MID(B16,FIND(" ",B16,1),4)</f>
        <v xml:space="preserve"> G10</v>
      </c>
      <c r="H16" s="1" t="str">
        <f>IFERROR(LEFT(J16,FIND(" og ",J16,1)),J16)</f>
        <v xml:space="preserve">Celine Kjær Molvig </v>
      </c>
      <c r="I16" s="1" t="str">
        <f>IFERROR(RIGHT(J16,LEN(J16) - FIND(" og ",J16,1) - 3),"")</f>
        <v>Vinos Ismail</v>
      </c>
      <c r="J16" s="52" t="s">
        <v>181</v>
      </c>
    </row>
    <row r="17" spans="1:10">
      <c r="A17" s="3">
        <v>0.42708333333333331</v>
      </c>
      <c r="B17" t="s">
        <v>69</v>
      </c>
      <c r="C17" s="36" t="s">
        <v>120</v>
      </c>
      <c r="D17" t="s">
        <v>70</v>
      </c>
      <c r="E17" t="s">
        <v>90</v>
      </c>
      <c r="F17" t="s">
        <v>79</v>
      </c>
      <c r="G17" t="str">
        <f>MID(B17,FIND(" ",B17,1),4)</f>
        <v xml:space="preserve"> G10</v>
      </c>
      <c r="H17" s="1" t="str">
        <f>IFERROR(LEFT(J17,FIND(" og ",J17,1)),J17)</f>
        <v xml:space="preserve">Celine Kjær Molvig </v>
      </c>
      <c r="I17" s="1" t="str">
        <f>IFERROR(RIGHT(J17,LEN(J17) - FIND(" og ",J17,1) - 3),"")</f>
        <v>Vinos Ismail</v>
      </c>
      <c r="J17" s="52" t="s">
        <v>181</v>
      </c>
    </row>
    <row r="18" spans="1:10">
      <c r="A18" s="3">
        <v>0.61111111111111105</v>
      </c>
      <c r="B18" t="s">
        <v>95</v>
      </c>
      <c r="C18" s="36" t="s">
        <v>151</v>
      </c>
      <c r="D18" t="s">
        <v>66</v>
      </c>
      <c r="E18" t="s">
        <v>67</v>
      </c>
      <c r="F18" t="s">
        <v>105</v>
      </c>
      <c r="G18" t="str">
        <f>MID(B18,FIND(" ",B18,1),4)</f>
        <v xml:space="preserve"> G9 </v>
      </c>
      <c r="H18" s="1" t="str">
        <f>IFERROR(LEFT(J18,FIND(" og ",J18,1)),J18)</f>
        <v xml:space="preserve">Celine Kjær Molvig </v>
      </c>
      <c r="I18" s="1" t="str">
        <f>IFERROR(RIGHT(J18,LEN(J18) - FIND(" og ",J18,1) - 3),"")</f>
        <v>Vinos Ismail</v>
      </c>
      <c r="J18" s="52" t="s">
        <v>181</v>
      </c>
    </row>
    <row r="19" spans="1:10">
      <c r="A19" s="3">
        <v>0.62847222222222221</v>
      </c>
      <c r="B19" t="s">
        <v>95</v>
      </c>
      <c r="C19" s="36" t="s">
        <v>154</v>
      </c>
      <c r="D19" t="s">
        <v>66</v>
      </c>
      <c r="E19" t="s">
        <v>108</v>
      </c>
      <c r="F19" t="s">
        <v>102</v>
      </c>
      <c r="G19" t="str">
        <f>MID(B19,FIND(" ",B19,1),4)</f>
        <v xml:space="preserve"> G9 </v>
      </c>
      <c r="H19" s="1" t="str">
        <f>IFERROR(LEFT(J19,FIND(" og ",J19,1)),J19)</f>
        <v xml:space="preserve">Celine Kjær Molvig </v>
      </c>
      <c r="I19" s="1" t="str">
        <f>IFERROR(RIGHT(J19,LEN(J19) - FIND(" og ",J19,1) - 3),"")</f>
        <v>Vinos Ismail</v>
      </c>
      <c r="J19" s="52" t="s">
        <v>181</v>
      </c>
    </row>
    <row r="20" spans="1:10">
      <c r="A20" s="50">
        <v>0.69791666666666663</v>
      </c>
      <c r="B20" s="1" t="s">
        <v>93</v>
      </c>
      <c r="C20" s="34" t="s">
        <v>164</v>
      </c>
      <c r="D20" s="1" t="s">
        <v>70</v>
      </c>
      <c r="E20" s="1" t="s">
        <v>80</v>
      </c>
      <c r="F20" s="1" t="s">
        <v>77</v>
      </c>
      <c r="G20" t="str">
        <f>MID(B20,FIND(" ",B20,1),4)</f>
        <v xml:space="preserve"> G9 </v>
      </c>
      <c r="H20" s="1" t="str">
        <f>IFERROR(LEFT(J20,FIND(" og ",J20,1)),J20)</f>
        <v xml:space="preserve">Celine Kjær Molvig </v>
      </c>
      <c r="I20" s="1" t="str">
        <f>IFERROR(RIGHT(J20,LEN(J20) - FIND(" og ",J20,1) - 3),"")</f>
        <v>Vinos Ismail</v>
      </c>
      <c r="J20" s="52" t="s">
        <v>181</v>
      </c>
    </row>
    <row r="21" spans="1:10">
      <c r="A21" s="50">
        <v>0.72569444444444453</v>
      </c>
      <c r="B21" s="1" t="s">
        <v>93</v>
      </c>
      <c r="C21" s="34" t="s">
        <v>167</v>
      </c>
      <c r="D21" s="1" t="s">
        <v>70</v>
      </c>
      <c r="E21" s="1" t="s">
        <v>103</v>
      </c>
      <c r="F21" s="1" t="s">
        <v>98</v>
      </c>
      <c r="G21" t="str">
        <f>MID(B21,FIND(" ",B21,1),4)</f>
        <v xml:space="preserve"> G9 </v>
      </c>
      <c r="H21" s="1" t="str">
        <f>IFERROR(LEFT(J21,FIND(" og ",J21,1)),J21)</f>
        <v xml:space="preserve">Celine Kjær Molvig </v>
      </c>
      <c r="I21" s="1" t="str">
        <f>IFERROR(RIGHT(J21,LEN(J21) - FIND(" og ",J21,1) - 3),"")</f>
        <v>Vinos Ismail</v>
      </c>
      <c r="J21" s="52" t="s">
        <v>181</v>
      </c>
    </row>
    <row r="22" spans="1:10">
      <c r="A22" s="3">
        <v>0.375</v>
      </c>
      <c r="B22" t="s">
        <v>69</v>
      </c>
      <c r="C22" s="36" t="s">
        <v>111</v>
      </c>
      <c r="D22" t="s">
        <v>70</v>
      </c>
      <c r="E22" t="s">
        <v>71</v>
      </c>
      <c r="F22" t="s">
        <v>72</v>
      </c>
      <c r="G22" t="str">
        <f>MID(B22,FIND(" ",B22,1),4)</f>
        <v xml:space="preserve"> G10</v>
      </c>
      <c r="H22" s="1" t="str">
        <f>IFERROR(LEFT(J22,FIND(" og ",J22,1)),J22)</f>
        <v xml:space="preserve">Helle Kierulf </v>
      </c>
      <c r="I22" s="1" t="str">
        <f>IFERROR(RIGHT(J22,LEN(J22) - FIND(" og ",J22,1) - 3),"")</f>
        <v>Lene Brosvik</v>
      </c>
      <c r="J22" s="52" t="s">
        <v>180</v>
      </c>
    </row>
    <row r="23" spans="1:10">
      <c r="A23" s="3">
        <v>0.57638888888888895</v>
      </c>
      <c r="B23" t="s">
        <v>95</v>
      </c>
      <c r="C23" s="36" t="s">
        <v>145</v>
      </c>
      <c r="D23" t="s">
        <v>66</v>
      </c>
      <c r="E23" t="s">
        <v>96</v>
      </c>
      <c r="F23" t="s">
        <v>90</v>
      </c>
      <c r="G23" t="str">
        <f>MID(B23,FIND(" ",B23,1),4)</f>
        <v xml:space="preserve"> G9 </v>
      </c>
      <c r="H23" s="1" t="str">
        <f>IFERROR(LEFT(J23,FIND(" og ",J23,1)),J23)</f>
        <v xml:space="preserve">Helle Kierulf </v>
      </c>
      <c r="I23" s="1" t="str">
        <f>IFERROR(RIGHT(J23,LEN(J23) - FIND(" og ",J23,1) - 3),"")</f>
        <v>Lene Brosvik</v>
      </c>
      <c r="J23" s="52" t="s">
        <v>180</v>
      </c>
    </row>
    <row r="24" spans="1:10">
      <c r="A24" s="3">
        <v>0.59375</v>
      </c>
      <c r="B24" t="s">
        <v>95</v>
      </c>
      <c r="C24" s="36" t="s">
        <v>148</v>
      </c>
      <c r="D24" t="s">
        <v>66</v>
      </c>
      <c r="E24" t="s">
        <v>102</v>
      </c>
      <c r="F24" t="s">
        <v>83</v>
      </c>
      <c r="G24" t="str">
        <f>MID(B24,FIND(" ",B24,1),4)</f>
        <v xml:space="preserve"> G9 </v>
      </c>
      <c r="H24" s="1" t="str">
        <f>IFERROR(LEFT(J24,FIND(" og ",J24,1)),J24)</f>
        <v xml:space="preserve">Helle Kierulf </v>
      </c>
      <c r="I24" s="1" t="str">
        <f>IFERROR(RIGHT(J24,LEN(J24) - FIND(" og ",J24,1) - 3),"")</f>
        <v>Lene Brosvik</v>
      </c>
      <c r="J24" s="52" t="s">
        <v>180</v>
      </c>
    </row>
    <row r="25" spans="1:10">
      <c r="A25" s="3">
        <v>0.64583333333333337</v>
      </c>
      <c r="B25" t="s">
        <v>95</v>
      </c>
      <c r="C25" s="36" t="s">
        <v>157</v>
      </c>
      <c r="D25" t="s">
        <v>66</v>
      </c>
      <c r="E25" t="s">
        <v>90</v>
      </c>
      <c r="F25" t="s">
        <v>67</v>
      </c>
      <c r="G25" t="str">
        <f>MID(B25,FIND(" ",B25,1),4)</f>
        <v xml:space="preserve"> G9 </v>
      </c>
      <c r="H25" s="1" t="str">
        <f>IFERROR(LEFT(J25,FIND(" og ",J25,1)),J25)</f>
        <v xml:space="preserve">Helle Kierulf </v>
      </c>
      <c r="I25" s="1" t="str">
        <f>IFERROR(RIGHT(J25,LEN(J25) - FIND(" og ",J25,1) - 3),"")</f>
        <v>Lene Brosvik</v>
      </c>
      <c r="J25" s="52" t="s">
        <v>180</v>
      </c>
    </row>
    <row r="26" spans="1:10">
      <c r="A26" s="3">
        <v>0.66319444444444442</v>
      </c>
      <c r="B26" t="s">
        <v>95</v>
      </c>
      <c r="C26" s="36" t="s">
        <v>160</v>
      </c>
      <c r="D26" t="s">
        <v>66</v>
      </c>
      <c r="E26" t="s">
        <v>83</v>
      </c>
      <c r="F26" t="s">
        <v>96</v>
      </c>
      <c r="G26" t="str">
        <f>MID(B26,FIND(" ",B26,1),4)</f>
        <v xml:space="preserve"> G9 </v>
      </c>
      <c r="H26" s="1" t="str">
        <f>IFERROR(LEFT(J26,FIND(" og ",J26,1)),J26)</f>
        <v xml:space="preserve">Helle Kierulf </v>
      </c>
      <c r="I26" s="1" t="str">
        <f>IFERROR(RIGHT(J26,LEN(J26) - FIND(" og ",J26,1) - 3),"")</f>
        <v>Lene Brosvik</v>
      </c>
      <c r="J26" s="52" t="s">
        <v>180</v>
      </c>
    </row>
    <row r="27" spans="1:10">
      <c r="A27" s="3">
        <v>0.68055555555555547</v>
      </c>
      <c r="B27" t="s">
        <v>95</v>
      </c>
      <c r="C27" s="36" t="s">
        <v>163</v>
      </c>
      <c r="D27" t="s">
        <v>66</v>
      </c>
      <c r="E27" t="s">
        <v>102</v>
      </c>
      <c r="F27" t="s">
        <v>105</v>
      </c>
      <c r="G27" t="str">
        <f>MID(B27,FIND(" ",B27,1),4)</f>
        <v xml:space="preserve"> G9 </v>
      </c>
      <c r="H27" s="1" t="str">
        <f>IFERROR(LEFT(J27,FIND(" og ",J27,1)),J27)</f>
        <v xml:space="preserve">Helle Kierulf </v>
      </c>
      <c r="I27" s="1" t="str">
        <f>IFERROR(RIGHT(J27,LEN(J27) - FIND(" og ",J27,1) - 3),"")</f>
        <v>Lene Brosvik</v>
      </c>
      <c r="J27" s="52" t="s">
        <v>180</v>
      </c>
    </row>
    <row r="28" spans="1:10">
      <c r="A28" s="50">
        <v>0.74305555555555547</v>
      </c>
      <c r="B28" s="1" t="s">
        <v>95</v>
      </c>
      <c r="C28" s="34" t="s">
        <v>172</v>
      </c>
      <c r="D28" s="1" t="s">
        <v>66</v>
      </c>
      <c r="E28" s="1" t="s">
        <v>90</v>
      </c>
      <c r="F28" s="1" t="s">
        <v>105</v>
      </c>
      <c r="G28" t="str">
        <f>MID(B28,FIND(" ",B28,1),4)</f>
        <v xml:space="preserve"> G9 </v>
      </c>
      <c r="H28" s="1" t="str">
        <f>IFERROR(LEFT(J28,FIND(" og ",J28,1)),J28)</f>
        <v xml:space="preserve">Helle Kierulf </v>
      </c>
      <c r="I28" s="1" t="str">
        <f>IFERROR(RIGHT(J28,LEN(J28) - FIND(" og ",J28,1) - 3),"")</f>
        <v>Lene Brosvik</v>
      </c>
      <c r="J28" s="52" t="s">
        <v>180</v>
      </c>
    </row>
    <row r="29" spans="1:10">
      <c r="A29" s="50">
        <v>0.76041666666666663</v>
      </c>
      <c r="B29" s="1" t="s">
        <v>95</v>
      </c>
      <c r="C29" s="34" t="s">
        <v>175</v>
      </c>
      <c r="D29" s="1" t="s">
        <v>66</v>
      </c>
      <c r="E29" s="1" t="s">
        <v>83</v>
      </c>
      <c r="F29" s="1" t="s">
        <v>108</v>
      </c>
      <c r="G29" t="str">
        <f>MID(B29,FIND(" ",B29,1),4)</f>
        <v xml:space="preserve"> G9 </v>
      </c>
      <c r="H29" s="1" t="str">
        <f>IFERROR(LEFT(J29,FIND(" og ",J29,1)),J29)</f>
        <v xml:space="preserve">Helle Kierulf </v>
      </c>
      <c r="I29" s="1" t="str">
        <f>IFERROR(RIGHT(J29,LEN(J29) - FIND(" og ",J29,1) - 3),"")</f>
        <v>Lene Brosvik</v>
      </c>
      <c r="J29" s="53" t="s">
        <v>180</v>
      </c>
    </row>
    <row r="30" spans="1:10">
      <c r="A30" s="3">
        <v>0.44444444444444442</v>
      </c>
      <c r="B30" t="s">
        <v>73</v>
      </c>
      <c r="C30" s="36" t="s">
        <v>124</v>
      </c>
      <c r="D30" t="s">
        <v>74</v>
      </c>
      <c r="E30" t="s">
        <v>75</v>
      </c>
      <c r="F30" t="s">
        <v>82</v>
      </c>
      <c r="G30" t="str">
        <f>MID(B30,FIND(" ",B30,1),4)</f>
        <v xml:space="preserve"> G9 </v>
      </c>
      <c r="H30" s="1" t="str">
        <f>IFERROR(LEFT(J30,FIND(" og ",J30,1)),J30)</f>
        <v xml:space="preserve">Henriette O Foyn </v>
      </c>
      <c r="I30" s="1" t="str">
        <f>IFERROR(RIGHT(J30,LEN(J30) - FIND(" og ",J30,1) - 3),"")</f>
        <v>Lotte Bettum</v>
      </c>
      <c r="J30" s="53" t="s">
        <v>186</v>
      </c>
    </row>
    <row r="31" spans="1:10">
      <c r="A31" s="3">
        <v>0.46180555555555558</v>
      </c>
      <c r="B31" t="s">
        <v>73</v>
      </c>
      <c r="C31" s="36" t="s">
        <v>127</v>
      </c>
      <c r="D31" t="s">
        <v>74</v>
      </c>
      <c r="E31" t="s">
        <v>76</v>
      </c>
      <c r="F31" t="s">
        <v>81</v>
      </c>
      <c r="G31" t="str">
        <f>MID(B31,FIND(" ",B31,1),4)</f>
        <v xml:space="preserve"> G9 </v>
      </c>
      <c r="H31" s="1" t="str">
        <f>IFERROR(LEFT(J31,FIND(" og ",J31,1)),J31)</f>
        <v xml:space="preserve">Henriette O Foyn </v>
      </c>
      <c r="I31" s="1" t="str">
        <f>IFERROR(RIGHT(J31,LEN(J31) - FIND(" og ",J31,1) - 3),"")</f>
        <v>Lotte Bettum</v>
      </c>
      <c r="J31" s="53" t="s">
        <v>186</v>
      </c>
    </row>
    <row r="32" spans="1:10">
      <c r="A32" s="3">
        <v>0.59375</v>
      </c>
      <c r="B32" t="s">
        <v>99</v>
      </c>
      <c r="C32" s="36" t="s">
        <v>147</v>
      </c>
      <c r="D32" t="s">
        <v>74</v>
      </c>
      <c r="E32" t="s">
        <v>100</v>
      </c>
      <c r="F32" t="s">
        <v>101</v>
      </c>
      <c r="G32" t="str">
        <f>MID(B32,FIND(" ",B32,1),4)</f>
        <v xml:space="preserve"> G9 </v>
      </c>
      <c r="H32" s="1" t="str">
        <f>IFERROR(LEFT(J32,FIND(" og ",J32,1)),J32)</f>
        <v xml:space="preserve">Henriette O Foyn </v>
      </c>
      <c r="I32" s="1" t="str">
        <f>IFERROR(RIGHT(J32,LEN(J32) - FIND(" og ",J32,1) - 3),"")</f>
        <v>Lotte Bettum</v>
      </c>
      <c r="J32" s="53" t="s">
        <v>186</v>
      </c>
    </row>
    <row r="33" spans="1:10">
      <c r="A33" s="3">
        <v>0.61111111111111105</v>
      </c>
      <c r="B33" t="s">
        <v>99</v>
      </c>
      <c r="C33" s="36" t="s">
        <v>150</v>
      </c>
      <c r="D33" t="s">
        <v>74</v>
      </c>
      <c r="E33" t="s">
        <v>104</v>
      </c>
      <c r="F33" t="s">
        <v>102</v>
      </c>
      <c r="G33" t="str">
        <f>MID(B33,FIND(" ",B33,1),4)</f>
        <v xml:space="preserve"> G9 </v>
      </c>
      <c r="H33" s="1" t="str">
        <f>IFERROR(LEFT(J33,FIND(" og ",J33,1)),J33)</f>
        <v xml:space="preserve">Henriette O Foyn </v>
      </c>
      <c r="I33" s="1" t="str">
        <f>IFERROR(RIGHT(J33,LEN(J33) - FIND(" og ",J33,1) - 3),"")</f>
        <v>Lotte Bettum</v>
      </c>
      <c r="J33" s="53" t="s">
        <v>186</v>
      </c>
    </row>
    <row r="34" spans="1:10">
      <c r="A34" s="50">
        <v>0.69791666666666663</v>
      </c>
      <c r="B34" s="1" t="s">
        <v>99</v>
      </c>
      <c r="C34" s="34" t="s">
        <v>165</v>
      </c>
      <c r="D34" s="1" t="s">
        <v>74</v>
      </c>
      <c r="E34" s="1" t="s">
        <v>104</v>
      </c>
      <c r="F34" s="1" t="s">
        <v>107</v>
      </c>
      <c r="G34" t="str">
        <f>MID(B34,FIND(" ",B34,1),4)</f>
        <v xml:space="preserve"> G9 </v>
      </c>
      <c r="H34" s="1" t="str">
        <f>IFERROR(LEFT(J34,FIND(" og ",J34,1)),J34)</f>
        <v xml:space="preserve">Henriette O Foyn </v>
      </c>
      <c r="I34" s="1" t="str">
        <f>IFERROR(RIGHT(J34,LEN(J34) - FIND(" og ",J34,1) - 3),"")</f>
        <v>Lotte Bettum</v>
      </c>
      <c r="J34" s="53" t="s">
        <v>186</v>
      </c>
    </row>
    <row r="35" spans="1:10">
      <c r="A35" s="50">
        <v>0.72569444444444453</v>
      </c>
      <c r="B35" s="1" t="s">
        <v>99</v>
      </c>
      <c r="C35" s="34" t="s">
        <v>168</v>
      </c>
      <c r="D35" s="1" t="s">
        <v>74</v>
      </c>
      <c r="E35" s="1" t="s">
        <v>100</v>
      </c>
      <c r="F35" s="1" t="s">
        <v>109</v>
      </c>
      <c r="G35" t="str">
        <f>MID(B35,FIND(" ",B35,1),4)</f>
        <v xml:space="preserve"> G9 </v>
      </c>
      <c r="H35" s="1" t="str">
        <f>IFERROR(LEFT(J35,FIND(" og ",J35,1)),J35)</f>
        <v xml:space="preserve">Henriette O Foyn </v>
      </c>
      <c r="I35" s="1" t="str">
        <f>IFERROR(RIGHT(J35,LEN(J35) - FIND(" og ",J35,1) - 3),"")</f>
        <v>Lotte Bettum</v>
      </c>
      <c r="J35" s="53" t="s">
        <v>186</v>
      </c>
    </row>
    <row r="36" spans="1:10">
      <c r="A36" s="3">
        <v>0.375</v>
      </c>
      <c r="B36" t="s">
        <v>73</v>
      </c>
      <c r="C36" s="36" t="s">
        <v>112</v>
      </c>
      <c r="D36" t="s">
        <v>74</v>
      </c>
      <c r="E36" t="s">
        <v>75</v>
      </c>
      <c r="F36" t="s">
        <v>76</v>
      </c>
      <c r="G36" t="str">
        <f>MID(B36,FIND(" ",B36,1),4)</f>
        <v xml:space="preserve"> G9 </v>
      </c>
      <c r="H36" s="1" t="str">
        <f>IFERROR(LEFT(J36,FIND(" og ",J36,1)),J36)</f>
        <v xml:space="preserve">Ingeborg Morberg </v>
      </c>
      <c r="I36" s="1" t="str">
        <f>IFERROR(RIGHT(J36,LEN(J36) - FIND(" og ",J36,1) - 3),"")</f>
        <v>Maya W Solberg</v>
      </c>
      <c r="J36" s="53" t="s">
        <v>183</v>
      </c>
    </row>
    <row r="37" spans="1:10">
      <c r="A37" s="3">
        <v>0.44444444444444442</v>
      </c>
      <c r="B37" t="s">
        <v>69</v>
      </c>
      <c r="C37" s="36" t="s">
        <v>123</v>
      </c>
      <c r="D37" t="s">
        <v>70</v>
      </c>
      <c r="E37" t="s">
        <v>72</v>
      </c>
      <c r="F37" t="s">
        <v>85</v>
      </c>
      <c r="G37" t="str">
        <f>MID(B37,FIND(" ",B37,1),4)</f>
        <v xml:space="preserve"> G10</v>
      </c>
      <c r="H37" s="1" t="str">
        <f>IFERROR(LEFT(J37,FIND(" og ",J37,1)),J37)</f>
        <v xml:space="preserve">Ingeborg Morberg </v>
      </c>
      <c r="I37" s="1" t="str">
        <f>IFERROR(RIGHT(J37,LEN(J37) - FIND(" og ",J37,1) - 3),"")</f>
        <v>Maya W Solberg</v>
      </c>
      <c r="J37" s="53" t="s">
        <v>183</v>
      </c>
    </row>
    <row r="38" spans="1:10">
      <c r="A38" s="3">
        <v>0.46180555555555558</v>
      </c>
      <c r="B38" t="s">
        <v>69</v>
      </c>
      <c r="C38" s="36" t="s">
        <v>126</v>
      </c>
      <c r="D38" t="s">
        <v>70</v>
      </c>
      <c r="E38" t="s">
        <v>80</v>
      </c>
      <c r="F38" t="s">
        <v>71</v>
      </c>
      <c r="G38" t="str">
        <f>MID(B38,FIND(" ",B38,1),4)</f>
        <v xml:space="preserve"> G10</v>
      </c>
      <c r="H38" s="1" t="str">
        <f>IFERROR(LEFT(J38,FIND(" og ",J38,1)),J38)</f>
        <v xml:space="preserve">Ingeborg Morberg </v>
      </c>
      <c r="I38" s="1" t="str">
        <f>IFERROR(RIGHT(J38,LEN(J38) - FIND(" og ",J38,1) - 3),"")</f>
        <v>Maya W Solberg</v>
      </c>
      <c r="J38" s="53" t="s">
        <v>183</v>
      </c>
    </row>
    <row r="39" spans="1:10">
      <c r="A39" s="3">
        <v>0.52430555555555558</v>
      </c>
      <c r="B39" t="s">
        <v>69</v>
      </c>
      <c r="C39" s="36" t="s">
        <v>135</v>
      </c>
      <c r="D39" t="s">
        <v>70</v>
      </c>
      <c r="E39" t="s">
        <v>85</v>
      </c>
      <c r="F39" t="s">
        <v>80</v>
      </c>
      <c r="G39" t="str">
        <f>MID(B39,FIND(" ",B39,1),4)</f>
        <v xml:space="preserve"> G10</v>
      </c>
      <c r="H39" s="1" t="str">
        <f>IFERROR(LEFT(J39,FIND(" og ",J39,1)),J39)</f>
        <v xml:space="preserve">Ingeborg Morberg </v>
      </c>
      <c r="I39" s="1" t="str">
        <f>IFERROR(RIGHT(J39,LEN(J39) - FIND(" og ",J39,1) - 3),"")</f>
        <v>Maya W Solberg</v>
      </c>
      <c r="J39" s="53" t="s">
        <v>183</v>
      </c>
    </row>
    <row r="40" spans="1:10">
      <c r="A40" s="3">
        <v>0.54166666666666663</v>
      </c>
      <c r="B40" t="s">
        <v>69</v>
      </c>
      <c r="C40" s="36" t="s">
        <v>138</v>
      </c>
      <c r="D40" t="s">
        <v>70</v>
      </c>
      <c r="E40" t="s">
        <v>72</v>
      </c>
      <c r="F40" t="s">
        <v>86</v>
      </c>
      <c r="G40" t="str">
        <f>MID(B40,FIND(" ",B40,1),4)</f>
        <v xml:space="preserve"> G10</v>
      </c>
      <c r="H40" s="1" t="str">
        <f>IFERROR(LEFT(J40,FIND(" og ",J40,1)),J40)</f>
        <v xml:space="preserve">Ingeborg Morberg </v>
      </c>
      <c r="I40" s="1" t="str">
        <f>IFERROR(RIGHT(J40,LEN(J40) - FIND(" og ",J40,1) - 3),"")</f>
        <v>Maya W Solberg</v>
      </c>
      <c r="J40" s="53" t="s">
        <v>183</v>
      </c>
    </row>
    <row r="41" spans="1:10">
      <c r="A41" s="3">
        <v>0.59375</v>
      </c>
      <c r="B41" t="s">
        <v>93</v>
      </c>
      <c r="C41" s="36" t="s">
        <v>146</v>
      </c>
      <c r="D41" t="s">
        <v>70</v>
      </c>
      <c r="E41" t="s">
        <v>97</v>
      </c>
      <c r="F41" t="s">
        <v>98</v>
      </c>
      <c r="G41" t="str">
        <f>MID(B41,FIND(" ",B41,1),4)</f>
        <v xml:space="preserve"> G9 </v>
      </c>
      <c r="H41" s="1" t="str">
        <f>IFERROR(LEFT(J41,FIND(" og ",J41,1)),J41)</f>
        <v xml:space="preserve">Ingeborg Morberg </v>
      </c>
      <c r="I41" s="1" t="str">
        <f>IFERROR(RIGHT(J41,LEN(J41) - FIND(" og ",J41,1) - 3),"")</f>
        <v>Maya W Solberg</v>
      </c>
      <c r="J41" s="53" t="s">
        <v>183</v>
      </c>
    </row>
    <row r="42" spans="1:10">
      <c r="A42" s="3">
        <v>0.61111111111111105</v>
      </c>
      <c r="B42" t="s">
        <v>93</v>
      </c>
      <c r="C42" s="36" t="s">
        <v>149</v>
      </c>
      <c r="D42" t="s">
        <v>70</v>
      </c>
      <c r="E42" t="s">
        <v>103</v>
      </c>
      <c r="F42" t="s">
        <v>68</v>
      </c>
      <c r="G42" t="str">
        <f>MID(B42,FIND(" ",B42,1),4)</f>
        <v xml:space="preserve"> G9 </v>
      </c>
      <c r="H42" s="1" t="str">
        <f>IFERROR(LEFT(J42,FIND(" og ",J42,1)),J42)</f>
        <v xml:space="preserve">Ingeborg Morberg </v>
      </c>
      <c r="I42" s="1" t="str">
        <f>IFERROR(RIGHT(J42,LEN(J42) - FIND(" og ",J42,1) - 3),"")</f>
        <v>Maya W Solberg</v>
      </c>
      <c r="J42" s="53" t="s">
        <v>183</v>
      </c>
    </row>
    <row r="43" spans="1:10">
      <c r="A43" s="3">
        <v>0.66319444444444442</v>
      </c>
      <c r="B43" t="s">
        <v>93</v>
      </c>
      <c r="C43" s="36" t="s">
        <v>158</v>
      </c>
      <c r="D43" t="s">
        <v>70</v>
      </c>
      <c r="E43" t="s">
        <v>98</v>
      </c>
      <c r="F43" t="s">
        <v>80</v>
      </c>
      <c r="G43" t="str">
        <f>MID(B43,FIND(" ",B43,1),4)</f>
        <v xml:space="preserve"> G9 </v>
      </c>
      <c r="H43" s="1" t="str">
        <f>IFERROR(LEFT(J43,FIND(" og ",J43,1)),J43)</f>
        <v xml:space="preserve">Ingeborg Morberg </v>
      </c>
      <c r="I43" s="1" t="str">
        <f>IFERROR(RIGHT(J43,LEN(J43) - FIND(" og ",J43,1) - 3),"")</f>
        <v>Maya W Solberg</v>
      </c>
      <c r="J43" s="53" t="s">
        <v>183</v>
      </c>
    </row>
    <row r="44" spans="1:10">
      <c r="A44" s="3">
        <v>0.68055555555555547</v>
      </c>
      <c r="B44" t="s">
        <v>93</v>
      </c>
      <c r="C44" s="36" t="s">
        <v>161</v>
      </c>
      <c r="D44" t="s">
        <v>70</v>
      </c>
      <c r="E44" t="s">
        <v>97</v>
      </c>
      <c r="F44" t="s">
        <v>68</v>
      </c>
      <c r="G44" t="str">
        <f>MID(B44,FIND(" ",B44,1),4)</f>
        <v xml:space="preserve"> G9 </v>
      </c>
      <c r="H44" s="1" t="str">
        <f>IFERROR(LEFT(J44,FIND(" og ",J44,1)),J44)</f>
        <v xml:space="preserve">Ingeborg Morberg </v>
      </c>
      <c r="I44" s="1" t="str">
        <f>IFERROR(RIGHT(J44,LEN(J44) - FIND(" og ",J44,1) - 3),"")</f>
        <v>Maya W Solberg</v>
      </c>
      <c r="J44" s="53" t="s">
        <v>183</v>
      </c>
    </row>
    <row r="45" spans="1:10">
      <c r="A45" s="50">
        <v>0.74305555555555547</v>
      </c>
      <c r="B45" s="1" t="s">
        <v>93</v>
      </c>
      <c r="C45" s="34" t="s">
        <v>170</v>
      </c>
      <c r="D45" s="1" t="s">
        <v>70</v>
      </c>
      <c r="E45" s="1" t="s">
        <v>94</v>
      </c>
      <c r="F45" s="1" t="s">
        <v>68</v>
      </c>
      <c r="G45" t="str">
        <f>MID(B45,FIND(" ",B45,1),4)</f>
        <v xml:space="preserve"> G9 </v>
      </c>
      <c r="H45" s="1" t="str">
        <f>IFERROR(LEFT(J45,FIND(" og ",J45,1)),J45)</f>
        <v xml:space="preserve">Ingeborg Morberg </v>
      </c>
      <c r="I45" s="1" t="str">
        <f>IFERROR(RIGHT(J45,LEN(J45) - FIND(" og ",J45,1) - 3),"")</f>
        <v>Maya W Solberg</v>
      </c>
      <c r="J45" s="53" t="s">
        <v>183</v>
      </c>
    </row>
    <row r="46" spans="1:10">
      <c r="A46" s="50">
        <v>0.76041666666666663</v>
      </c>
      <c r="B46" s="1" t="s">
        <v>93</v>
      </c>
      <c r="C46" s="34" t="s">
        <v>173</v>
      </c>
      <c r="D46" s="1" t="s">
        <v>70</v>
      </c>
      <c r="E46" s="1" t="s">
        <v>98</v>
      </c>
      <c r="F46" s="1" t="s">
        <v>77</v>
      </c>
      <c r="G46" t="str">
        <f>MID(B46,FIND(" ",B46,1),4)</f>
        <v xml:space="preserve"> G9 </v>
      </c>
      <c r="H46" s="1" t="str">
        <f>IFERROR(LEFT(J46,FIND(" og ",J46,1)),J46)</f>
        <v xml:space="preserve">Ingeborg Morberg </v>
      </c>
      <c r="I46" s="1" t="str">
        <f>IFERROR(RIGHT(J46,LEN(J46) - FIND(" og ",J46,1) - 3),"")</f>
        <v>Maya W Solberg</v>
      </c>
      <c r="J46" s="53" t="s">
        <v>183</v>
      </c>
    </row>
    <row r="47" spans="1:10">
      <c r="A47" s="3">
        <v>0.47916666666666669</v>
      </c>
      <c r="B47" t="s">
        <v>65</v>
      </c>
      <c r="C47" s="36" t="s">
        <v>128</v>
      </c>
      <c r="D47" t="s">
        <v>66</v>
      </c>
      <c r="E47" t="s">
        <v>77</v>
      </c>
      <c r="F47" t="s">
        <v>84</v>
      </c>
      <c r="G47" t="str">
        <f>MID(B47,FIND(" ",B47,1),4)</f>
        <v xml:space="preserve"> G10</v>
      </c>
      <c r="H47" s="1" t="str">
        <f>IFERROR(LEFT(J47,FIND(" og ",J47,1)),J47)</f>
        <v xml:space="preserve">Ingeborg Morberg </v>
      </c>
      <c r="I47" s="1" t="str">
        <f>IFERROR(RIGHT(J47,LEN(J47) - FIND(" og ",J47,1) - 3),"")</f>
        <v>Vinos Ismail</v>
      </c>
      <c r="J47" s="53" t="s">
        <v>179</v>
      </c>
    </row>
    <row r="48" spans="1:10">
      <c r="A48" s="3">
        <v>0.52430555555555558</v>
      </c>
      <c r="B48" t="s">
        <v>73</v>
      </c>
      <c r="C48" s="36" t="s">
        <v>136</v>
      </c>
      <c r="D48" t="s">
        <v>74</v>
      </c>
      <c r="E48" t="s">
        <v>82</v>
      </c>
      <c r="F48" t="s">
        <v>76</v>
      </c>
      <c r="G48" t="str">
        <f>MID(B48,FIND(" ",B48,1),4)</f>
        <v xml:space="preserve"> G9 </v>
      </c>
      <c r="H48" s="1" t="str">
        <f>IFERROR(LEFT(J48,FIND(" og ",J48,1)),J48)</f>
        <v xml:space="preserve">Lotte Bettum </v>
      </c>
      <c r="I48" s="1" t="str">
        <f>IFERROR(RIGHT(J48,LEN(J48) - FIND(" og ",J48,1) - 3),"")</f>
        <v>Selma Henriksen</v>
      </c>
      <c r="J48" s="53" t="s">
        <v>188</v>
      </c>
    </row>
    <row r="49" spans="1:10">
      <c r="A49" s="3">
        <v>0.54166666666666663</v>
      </c>
      <c r="B49" t="s">
        <v>73</v>
      </c>
      <c r="C49" s="36" t="s">
        <v>139</v>
      </c>
      <c r="D49" t="s">
        <v>74</v>
      </c>
      <c r="E49" t="s">
        <v>81</v>
      </c>
      <c r="F49" t="s">
        <v>75</v>
      </c>
      <c r="G49" t="str">
        <f>MID(B49,FIND(" ",B49,1),4)</f>
        <v xml:space="preserve"> G9 </v>
      </c>
      <c r="H49" s="1" t="str">
        <f>IFERROR(LEFT(J49,FIND(" og ",J49,1)),J49)</f>
        <v xml:space="preserve">Lotte Bettum </v>
      </c>
      <c r="I49" s="1" t="str">
        <f>IFERROR(RIGHT(J49,LEN(J49) - FIND(" og ",J49,1) - 3),"")</f>
        <v>Selma Henriksen</v>
      </c>
      <c r="J49" s="53" t="s">
        <v>188</v>
      </c>
    </row>
    <row r="50" spans="1:10">
      <c r="A50" s="3">
        <v>0.66319444444444442</v>
      </c>
      <c r="B50" t="s">
        <v>99</v>
      </c>
      <c r="C50" s="36" t="s">
        <v>159</v>
      </c>
      <c r="D50" t="s">
        <v>74</v>
      </c>
      <c r="E50" t="s">
        <v>101</v>
      </c>
      <c r="F50" t="s">
        <v>106</v>
      </c>
      <c r="G50" t="str">
        <f>MID(B50,FIND(" ",B50,1),4)</f>
        <v xml:space="preserve"> G9 </v>
      </c>
      <c r="H50" s="1" t="str">
        <f>IFERROR(LEFT(J50,FIND(" og ",J50,1)),J50)</f>
        <v xml:space="preserve">Lotte Bettum </v>
      </c>
      <c r="I50" s="1" t="str">
        <f>IFERROR(RIGHT(J50,LEN(J50) - FIND(" og ",J50,1) - 3),"")</f>
        <v>Selma Henriksen</v>
      </c>
      <c r="J50" s="53" t="s">
        <v>188</v>
      </c>
    </row>
    <row r="51" spans="1:10">
      <c r="A51" s="3">
        <v>0.68055555555555547</v>
      </c>
      <c r="B51" t="s">
        <v>99</v>
      </c>
      <c r="C51" s="36" t="s">
        <v>162</v>
      </c>
      <c r="D51" t="s">
        <v>74</v>
      </c>
      <c r="E51" t="s">
        <v>102</v>
      </c>
      <c r="F51" t="s">
        <v>100</v>
      </c>
      <c r="G51" t="str">
        <f>MID(B51,FIND(" ",B51,1),4)</f>
        <v xml:space="preserve"> G9 </v>
      </c>
      <c r="H51" s="1" t="str">
        <f>IFERROR(LEFT(J51,FIND(" og ",J51,1)),J51)</f>
        <v xml:space="preserve">Lotte Bettum </v>
      </c>
      <c r="I51" s="1" t="str">
        <f>IFERROR(RIGHT(J51,LEN(J51) - FIND(" og ",J51,1) - 3),"")</f>
        <v>Selma Henriksen</v>
      </c>
      <c r="J51" s="54" t="s">
        <v>188</v>
      </c>
    </row>
    <row r="52" spans="1:10">
      <c r="A52" s="50">
        <v>0.77777777777777779</v>
      </c>
      <c r="B52" s="1" t="s">
        <v>99</v>
      </c>
      <c r="C52" s="34" t="s">
        <v>176</v>
      </c>
      <c r="D52" s="1" t="s">
        <v>74</v>
      </c>
      <c r="E52" s="1" t="s">
        <v>102</v>
      </c>
      <c r="F52" s="1" t="s">
        <v>109</v>
      </c>
      <c r="G52" t="str">
        <f>MID(B52,FIND(" ",B52,1),4)</f>
        <v xml:space="preserve"> G9 </v>
      </c>
      <c r="H52" s="1" t="str">
        <f>IFERROR(LEFT(J52,FIND(" og ",J52,1)),J52)</f>
        <v xml:space="preserve">Lotte Bettum </v>
      </c>
      <c r="I52" s="1" t="str">
        <f>IFERROR(RIGHT(J52,LEN(J52) - FIND(" og ",J52,1) - 3),"")</f>
        <v>Selma Henriksen</v>
      </c>
      <c r="J52" s="54" t="s">
        <v>188</v>
      </c>
    </row>
    <row r="53" spans="1:10">
      <c r="A53" s="3">
        <v>0.55902777777777779</v>
      </c>
      <c r="B53" t="s">
        <v>69</v>
      </c>
      <c r="C53" s="36" t="s">
        <v>141</v>
      </c>
      <c r="D53" t="s">
        <v>70</v>
      </c>
      <c r="E53" t="s">
        <v>80</v>
      </c>
      <c r="F53" t="s">
        <v>90</v>
      </c>
      <c r="G53" t="str">
        <f>MID(B53,FIND(" ",B53,1),4)</f>
        <v xml:space="preserve"> G10</v>
      </c>
      <c r="H53" s="1" t="str">
        <f>IFERROR(LEFT(J53,FIND(" og ",J53,1)),J53)</f>
        <v xml:space="preserve">Lotte Bettum </v>
      </c>
      <c r="I53" s="1" t="str">
        <f>IFERROR(RIGHT(J53,LEN(J53) - FIND(" og ",J53,1) - 3),"")</f>
        <v>Vinos Ismail</v>
      </c>
      <c r="J53" s="54" t="s">
        <v>184</v>
      </c>
    </row>
    <row r="54" spans="1:10">
      <c r="A54" s="3">
        <v>0.46180555555555558</v>
      </c>
      <c r="B54" t="s">
        <v>65</v>
      </c>
      <c r="C54" s="36" t="s">
        <v>125</v>
      </c>
      <c r="D54" t="s">
        <v>66</v>
      </c>
      <c r="E54" t="s">
        <v>78</v>
      </c>
      <c r="F54" t="s">
        <v>67</v>
      </c>
      <c r="G54" t="str">
        <f>MID(B54,FIND(" ",B54,1),4)</f>
        <v xml:space="preserve"> G10</v>
      </c>
      <c r="H54" s="1" t="str">
        <f>IFERROR(LEFT(J54,FIND(" og ",J54,1)),J54)</f>
        <v xml:space="preserve">Maya W Solberg </v>
      </c>
      <c r="I54" s="1" t="str">
        <f>IFERROR(RIGHT(J54,LEN(J54) - FIND(" og ",J54,1) - 3),"")</f>
        <v>Vinos Ismail</v>
      </c>
      <c r="J54" s="54" t="s">
        <v>178</v>
      </c>
    </row>
    <row r="55" spans="1:10">
      <c r="A55" s="3">
        <v>0.47916666666666669</v>
      </c>
      <c r="B55" t="s">
        <v>73</v>
      </c>
      <c r="C55" s="36" t="s">
        <v>130</v>
      </c>
      <c r="D55" t="s">
        <v>74</v>
      </c>
      <c r="E55" t="s">
        <v>92</v>
      </c>
      <c r="F55" t="s">
        <v>87</v>
      </c>
      <c r="G55" t="str">
        <f>MID(B55,FIND(" ",B55,1),4)</f>
        <v xml:space="preserve"> G9 </v>
      </c>
      <c r="H55" s="1" t="str">
        <f>IFERROR(LEFT(J55,FIND(" og ",J55,1)),J55)</f>
        <v xml:space="preserve">Selma Henriksen </v>
      </c>
      <c r="I55" s="1" t="str">
        <f>IFERROR(RIGHT(J55,LEN(J55) - FIND(" og ",J55,1) - 3),"")</f>
        <v>Henriette O Foyn</v>
      </c>
      <c r="J55" s="54" t="s">
        <v>187</v>
      </c>
    </row>
    <row r="56" spans="1:10">
      <c r="A56" s="3">
        <v>0.50694444444444442</v>
      </c>
      <c r="B56" t="s">
        <v>73</v>
      </c>
      <c r="C56" s="36" t="s">
        <v>133</v>
      </c>
      <c r="D56" t="s">
        <v>74</v>
      </c>
      <c r="E56" t="s">
        <v>88</v>
      </c>
      <c r="F56" t="s">
        <v>91</v>
      </c>
      <c r="G56" t="str">
        <f>MID(B56,FIND(" ",B56,1),4)</f>
        <v xml:space="preserve"> G9 </v>
      </c>
      <c r="H56" s="1" t="str">
        <f>IFERROR(LEFT(J56,FIND(" og ",J56,1)),J56)</f>
        <v xml:space="preserve">Selma Henriksen </v>
      </c>
      <c r="I56" s="1" t="str">
        <f>IFERROR(RIGHT(J56,LEN(J56) - FIND(" og ",J56,1) - 3),"")</f>
        <v>Henriette O Foyn</v>
      </c>
      <c r="J56" s="54" t="s">
        <v>187</v>
      </c>
    </row>
    <row r="57" spans="1:10">
      <c r="A57" s="3">
        <v>0.62847222222222221</v>
      </c>
      <c r="B57" t="s">
        <v>99</v>
      </c>
      <c r="C57" s="36" t="s">
        <v>153</v>
      </c>
      <c r="D57" t="s">
        <v>74</v>
      </c>
      <c r="E57" t="s">
        <v>106</v>
      </c>
      <c r="F57" t="s">
        <v>107</v>
      </c>
      <c r="G57" t="str">
        <f>MID(B57,FIND(" ",B57,1),4)</f>
        <v xml:space="preserve"> G9 </v>
      </c>
      <c r="H57" s="1" t="str">
        <f>IFERROR(LEFT(J57,FIND(" og ",J57,1)),J57)</f>
        <v xml:space="preserve">Selma Henriksen </v>
      </c>
      <c r="I57" s="1" t="str">
        <f>IFERROR(RIGHT(J57,LEN(J57) - FIND(" og ",J57,1) - 3),"")</f>
        <v>Henriette O Foyn</v>
      </c>
      <c r="J57" s="54" t="s">
        <v>187</v>
      </c>
    </row>
    <row r="58" spans="1:10">
      <c r="A58" s="3">
        <v>0.64583333333333337</v>
      </c>
      <c r="B58" t="s">
        <v>99</v>
      </c>
      <c r="C58" s="36" t="s">
        <v>156</v>
      </c>
      <c r="D58" t="s">
        <v>74</v>
      </c>
      <c r="E58" t="s">
        <v>109</v>
      </c>
      <c r="F58" t="s">
        <v>104</v>
      </c>
      <c r="G58" t="str">
        <f>MID(B58,FIND(" ",B58,1),4)</f>
        <v xml:space="preserve"> G9 </v>
      </c>
      <c r="H58" s="1" t="str">
        <f>IFERROR(LEFT(J58,FIND(" og ",J58,1)),J58)</f>
        <v xml:space="preserve">Selma Henriksen </v>
      </c>
      <c r="I58" s="1" t="str">
        <f>IFERROR(RIGHT(J58,LEN(J58) - FIND(" og ",J58,1) - 3),"")</f>
        <v>Henriette O Foyn</v>
      </c>
      <c r="J58" s="54" t="s">
        <v>187</v>
      </c>
    </row>
    <row r="59" spans="1:10" ht="15.75" thickBot="1">
      <c r="A59" s="82">
        <v>0.74305555555555547</v>
      </c>
      <c r="B59" s="1" t="s">
        <v>99</v>
      </c>
      <c r="C59" s="34" t="s">
        <v>171</v>
      </c>
      <c r="D59" s="1" t="s">
        <v>74</v>
      </c>
      <c r="E59" s="1" t="s">
        <v>106</v>
      </c>
      <c r="F59" s="1" t="s">
        <v>102</v>
      </c>
      <c r="G59" t="str">
        <f>MID(B59,FIND(" ",B59,1),4)</f>
        <v xml:space="preserve"> G9 </v>
      </c>
      <c r="H59" s="1" t="str">
        <f>IFERROR(LEFT(J59,FIND(" og ",J59,1)),J59)</f>
        <v xml:space="preserve">Selma Henriksen </v>
      </c>
      <c r="I59" s="1" t="str">
        <f>IFERROR(RIGHT(J59,LEN(J59) - FIND(" og ",J59,1) - 3),"")</f>
        <v>Henriette O Foyn</v>
      </c>
      <c r="J59" s="54" t="s">
        <v>187</v>
      </c>
    </row>
    <row r="60" spans="1:10">
      <c r="A60" s="39">
        <v>0.76041666666666663</v>
      </c>
      <c r="B60" s="1" t="s">
        <v>99</v>
      </c>
      <c r="C60" s="34" t="s">
        <v>174</v>
      </c>
      <c r="D60" s="1" t="s">
        <v>74</v>
      </c>
      <c r="E60" s="1" t="s">
        <v>101</v>
      </c>
      <c r="F60" s="1" t="s">
        <v>107</v>
      </c>
      <c r="G60" t="str">
        <f>MID(B60,FIND(" ",B60,1),4)</f>
        <v xml:space="preserve"> G9 </v>
      </c>
      <c r="H60" s="1" t="str">
        <f>IFERROR(LEFT(J60,FIND(" og ",J60,1)),J60)</f>
        <v xml:space="preserve">Selma Henriksen </v>
      </c>
      <c r="I60" s="1" t="str">
        <f>IFERROR(RIGHT(J60,LEN(J60) - FIND(" og ",J60,1) - 3),"")</f>
        <v>Henriette O Foyn</v>
      </c>
      <c r="J60" s="54" t="s">
        <v>187</v>
      </c>
    </row>
    <row r="61" spans="1:10">
      <c r="A61" s="51">
        <v>0.57638888888888895</v>
      </c>
      <c r="B61" t="s">
        <v>93</v>
      </c>
      <c r="C61" s="36" t="s">
        <v>144</v>
      </c>
      <c r="D61" t="s">
        <v>70</v>
      </c>
      <c r="E61" t="s">
        <v>80</v>
      </c>
      <c r="F61" t="s">
        <v>94</v>
      </c>
      <c r="G61" t="str">
        <f>MID(B61,FIND(" ",B61,1),4)</f>
        <v xml:space="preserve"> G9 </v>
      </c>
      <c r="H61" s="1" t="str">
        <f>IFERROR(LEFT(J61,FIND(" og ",J61,1)),J61)</f>
        <v xml:space="preserve">Selma Henriksen </v>
      </c>
      <c r="I61" s="1" t="str">
        <f>IFERROR(RIGHT(J61,LEN(J61) - FIND(" og ",J61,1) - 3),"")</f>
        <v>Vinos Ismail</v>
      </c>
      <c r="J61" s="54" t="s">
        <v>185</v>
      </c>
    </row>
    <row r="62" spans="1:10">
      <c r="A62" s="51">
        <v>0.3923611111111111</v>
      </c>
      <c r="B62" t="s">
        <v>73</v>
      </c>
      <c r="C62" s="36" t="s">
        <v>115</v>
      </c>
      <c r="D62" t="s">
        <v>74</v>
      </c>
      <c r="E62" t="s">
        <v>81</v>
      </c>
      <c r="F62" t="s">
        <v>82</v>
      </c>
      <c r="G62" t="str">
        <f>MID(B62,FIND(" ",B62,1),4)</f>
        <v xml:space="preserve"> G9 </v>
      </c>
      <c r="H62" s="1" t="str">
        <f>IFERROR(LEFT(J62,FIND(" og ",J62,1)),J62)</f>
        <v xml:space="preserve">Ulrik Kjærgaard </v>
      </c>
      <c r="I62" s="1" t="str">
        <f>IFERROR(RIGHT(J62,LEN(J62) - FIND(" og ",J62,1) - 3),"")</f>
        <v>Hoanh Vinh</v>
      </c>
      <c r="J62" s="54" t="s">
        <v>182</v>
      </c>
    </row>
    <row r="63" spans="1:10">
      <c r="A63" s="51">
        <v>0.40972222222222227</v>
      </c>
      <c r="B63" t="s">
        <v>73</v>
      </c>
      <c r="C63" s="36" t="s">
        <v>118</v>
      </c>
      <c r="D63" t="s">
        <v>74</v>
      </c>
      <c r="E63" t="s">
        <v>87</v>
      </c>
      <c r="F63" t="s">
        <v>88</v>
      </c>
      <c r="G63" t="str">
        <f>MID(B63,FIND(" ",B63,1),4)</f>
        <v xml:space="preserve"> G9 </v>
      </c>
      <c r="H63" s="1" t="str">
        <f>IFERROR(LEFT(J63,FIND(" og ",J63,1)),J63)</f>
        <v xml:space="preserve">Ulrik Kjærgaard </v>
      </c>
      <c r="I63" s="1" t="str">
        <f>IFERROR(RIGHT(J63,LEN(J63) - FIND(" og ",J63,1) - 3),"")</f>
        <v>Hoanh Vinh</v>
      </c>
      <c r="J63" s="54" t="s">
        <v>182</v>
      </c>
    </row>
    <row r="64" spans="1:10">
      <c r="A64" s="51">
        <v>0.42708333333333331</v>
      </c>
      <c r="B64" t="s">
        <v>73</v>
      </c>
      <c r="C64" s="36" t="s">
        <v>121</v>
      </c>
      <c r="D64" t="s">
        <v>74</v>
      </c>
      <c r="E64" t="s">
        <v>91</v>
      </c>
      <c r="F64" t="s">
        <v>92</v>
      </c>
      <c r="G64" t="str">
        <f>MID(B64,FIND(" ",B64,1),4)</f>
        <v xml:space="preserve"> G9 </v>
      </c>
      <c r="H64" s="1" t="str">
        <f>IFERROR(LEFT(J64,FIND(" og ",J64,1)),J64)</f>
        <v xml:space="preserve">Ulrik Kjærgaard </v>
      </c>
      <c r="I64" s="1" t="str">
        <f>IFERROR(RIGHT(J64,LEN(J64) - FIND(" og ",J64,1) - 3),"")</f>
        <v>Hoanh Vinh</v>
      </c>
      <c r="J64" s="54" t="s">
        <v>182</v>
      </c>
    </row>
    <row r="65" spans="1:10">
      <c r="A65" s="51">
        <v>0.47916666666666669</v>
      </c>
      <c r="B65" t="s">
        <v>69</v>
      </c>
      <c r="C65" s="36" t="s">
        <v>129</v>
      </c>
      <c r="D65" t="s">
        <v>70</v>
      </c>
      <c r="E65" t="s">
        <v>79</v>
      </c>
      <c r="F65" t="s">
        <v>86</v>
      </c>
      <c r="G65" t="str">
        <f>MID(B65,FIND(" ",B65,1),4)</f>
        <v xml:space="preserve"> G10</v>
      </c>
      <c r="H65" s="1" t="str">
        <f>IFERROR(LEFT(J65,FIND(" og ",J65,1)),J65)</f>
        <v xml:space="preserve">Ulrik Kjærgaard </v>
      </c>
      <c r="I65" s="1" t="str">
        <f>IFERROR(RIGHT(J65,LEN(J65) - FIND(" og ",J65,1) - 3),"")</f>
        <v>Hoanh Vinh</v>
      </c>
      <c r="J65" s="54" t="s">
        <v>182</v>
      </c>
    </row>
    <row r="66" spans="1:10">
      <c r="A66" s="51">
        <v>0.50694444444444442</v>
      </c>
      <c r="B66" t="s">
        <v>69</v>
      </c>
      <c r="C66" s="36" t="s">
        <v>132</v>
      </c>
      <c r="D66" t="s">
        <v>70</v>
      </c>
      <c r="E66" t="s">
        <v>71</v>
      </c>
      <c r="F66" t="s">
        <v>90</v>
      </c>
      <c r="G66" t="str">
        <f>MID(B66,FIND(" ",B66,1),4)</f>
        <v xml:space="preserve"> G10</v>
      </c>
      <c r="H66" s="1" t="str">
        <f>IFERROR(LEFT(J66,FIND(" og ",J66,1)),J66)</f>
        <v xml:space="preserve">Ulrik Kjærgaard </v>
      </c>
      <c r="I66" s="1" t="str">
        <f>IFERROR(RIGHT(J66,LEN(J66) - FIND(" og ",J66,1) - 3),"")</f>
        <v>Hoanh Vinh</v>
      </c>
      <c r="J66" s="54" t="s">
        <v>182</v>
      </c>
    </row>
    <row r="67" spans="1:10">
      <c r="A67" s="51">
        <v>0.55902777777777779</v>
      </c>
      <c r="B67" t="s">
        <v>73</v>
      </c>
      <c r="C67" s="36" t="s">
        <v>142</v>
      </c>
      <c r="D67" t="s">
        <v>74</v>
      </c>
      <c r="E67" t="s">
        <v>88</v>
      </c>
      <c r="F67" t="s">
        <v>92</v>
      </c>
      <c r="G67" t="str">
        <f>MID(B67,FIND(" ",B67,1),4)</f>
        <v xml:space="preserve"> G9 </v>
      </c>
      <c r="H67" s="1" t="str">
        <f>IFERROR(LEFT(J67,FIND(" og ",J67,1)),J67)</f>
        <v xml:space="preserve">Ulrik Kjærgaard </v>
      </c>
      <c r="I67" s="1" t="str">
        <f>IFERROR(RIGHT(J67,LEN(J67) - FIND(" og ",J67,1) - 3),"")</f>
        <v>Hoanh Vinh</v>
      </c>
      <c r="J67" s="54" t="s">
        <v>182</v>
      </c>
    </row>
    <row r="68" spans="1:10">
      <c r="A68" s="51">
        <v>0.57638888888888895</v>
      </c>
      <c r="B68" t="s">
        <v>73</v>
      </c>
      <c r="C68" s="36" t="s">
        <v>143</v>
      </c>
      <c r="D68" t="s">
        <v>74</v>
      </c>
      <c r="E68" t="s">
        <v>91</v>
      </c>
      <c r="F68" t="s">
        <v>87</v>
      </c>
      <c r="G68" t="str">
        <f>MID(B68,FIND(" ",B68,1),4)</f>
        <v xml:space="preserve"> G9 </v>
      </c>
      <c r="H68" s="1" t="str">
        <f>IFERROR(LEFT(J68,FIND(" og ",J68,1)),J68)</f>
        <v xml:space="preserve">Ulrik Kjærgaard </v>
      </c>
      <c r="I68" s="1" t="str">
        <f>IFERROR(RIGHT(J68,LEN(J68) - FIND(" og ",J68,1) - 3),"")</f>
        <v>Hoanh Vinh</v>
      </c>
      <c r="J68" s="54" t="s">
        <v>182</v>
      </c>
    </row>
    <row r="69" spans="1:10">
      <c r="A69" s="51">
        <v>0.62847222222222221</v>
      </c>
      <c r="B69" t="s">
        <v>93</v>
      </c>
      <c r="C69" s="36" t="s">
        <v>152</v>
      </c>
      <c r="D69" t="s">
        <v>70</v>
      </c>
      <c r="E69" t="s">
        <v>77</v>
      </c>
      <c r="F69" t="s">
        <v>97</v>
      </c>
      <c r="G69" t="str">
        <f>MID(B69,FIND(" ",B69,1),4)</f>
        <v xml:space="preserve"> G9 </v>
      </c>
      <c r="H69" s="1" t="str">
        <f>IFERROR(LEFT(J69,FIND(" og ",J69,1)),J69)</f>
        <v xml:space="preserve">Ulrik Kjærgaard </v>
      </c>
      <c r="I69" s="1" t="str">
        <f>IFERROR(RIGHT(J69,LEN(J69) - FIND(" og ",J69,1) - 3),"")</f>
        <v>Hoanh Vinh</v>
      </c>
      <c r="J69" s="54" t="s">
        <v>182</v>
      </c>
    </row>
    <row r="70" spans="1:10">
      <c r="A70" s="51">
        <v>0.64583333333333337</v>
      </c>
      <c r="B70" t="s">
        <v>93</v>
      </c>
      <c r="C70" s="36" t="s">
        <v>155</v>
      </c>
      <c r="D70" t="s">
        <v>70</v>
      </c>
      <c r="E70" t="s">
        <v>94</v>
      </c>
      <c r="F70" t="s">
        <v>103</v>
      </c>
      <c r="G70" t="str">
        <f>MID(B70,FIND(" ",B70,1),4)</f>
        <v xml:space="preserve"> G9 </v>
      </c>
      <c r="H70" s="1" t="str">
        <f>IFERROR(LEFT(J70,FIND(" og ",J70,1)),J70)</f>
        <v xml:space="preserve">Ulrik Kjærgaard </v>
      </c>
      <c r="I70" s="1" t="str">
        <f>IFERROR(RIGHT(J70,LEN(J70) - FIND(" og ",J70,1) - 3),"")</f>
        <v>Hoanh Vinh</v>
      </c>
      <c r="J70" s="54" t="s">
        <v>182</v>
      </c>
    </row>
    <row r="71" spans="1:10">
      <c r="A71" s="81">
        <v>0.69791666666666663</v>
      </c>
      <c r="B71" s="1" t="s">
        <v>95</v>
      </c>
      <c r="C71" s="34" t="s">
        <v>166</v>
      </c>
      <c r="D71" s="1" t="s">
        <v>66</v>
      </c>
      <c r="E71" s="1" t="s">
        <v>96</v>
      </c>
      <c r="F71" s="1" t="s">
        <v>108</v>
      </c>
      <c r="G71" t="str">
        <f>MID(B71,FIND(" ",B71,1),4)</f>
        <v xml:space="preserve"> G9 </v>
      </c>
      <c r="H71" s="1" t="str">
        <f>IFERROR(LEFT(J71,FIND(" og ",J71,1)),J71)</f>
        <v xml:space="preserve">Ulrik Kjærgaard </v>
      </c>
      <c r="I71" s="1" t="str">
        <f>IFERROR(RIGHT(J71,LEN(J71) - FIND(" og ",J71,1) - 3),"")</f>
        <v>Hoanh Vinh</v>
      </c>
      <c r="J71" s="54" t="s">
        <v>182</v>
      </c>
    </row>
    <row r="72" spans="1:10">
      <c r="A72" s="81">
        <v>0.72569444444444453</v>
      </c>
      <c r="B72" s="1" t="s">
        <v>95</v>
      </c>
      <c r="C72" s="34" t="s">
        <v>169</v>
      </c>
      <c r="D72" s="1" t="s">
        <v>66</v>
      </c>
      <c r="E72" s="1" t="s">
        <v>67</v>
      </c>
      <c r="F72" s="1" t="s">
        <v>83</v>
      </c>
      <c r="G72" t="str">
        <f>MID(B72,FIND(" ",B72,1),4)</f>
        <v xml:space="preserve"> G9 </v>
      </c>
      <c r="H72" s="1" t="str">
        <f>IFERROR(LEFT(J72,FIND(" og ",J72,1)),J72)</f>
        <v xml:space="preserve">Ulrik Kjærgaard </v>
      </c>
      <c r="I72" s="1" t="str">
        <f>IFERROR(RIGHT(J72,LEN(J72) - FIND(" og ",J72,1) - 3),"")</f>
        <v>Hoanh Vinh</v>
      </c>
      <c r="J72" s="54" t="s">
        <v>182</v>
      </c>
    </row>
    <row r="73" spans="1:10">
      <c r="A73" s="39"/>
      <c r="G73"/>
      <c r="J73" s="54"/>
    </row>
    <row r="74" spans="1:10">
      <c r="A74" s="40"/>
      <c r="J74" s="48"/>
    </row>
    <row r="75" spans="1:10">
      <c r="A75" s="40"/>
      <c r="J75" s="48"/>
    </row>
    <row r="76" spans="1:10">
      <c r="A76" s="40"/>
      <c r="J76" s="48"/>
    </row>
    <row r="77" spans="1:10">
      <c r="A77" s="40"/>
      <c r="J77" s="48"/>
    </row>
    <row r="78" spans="1:10">
      <c r="A78" s="40"/>
    </row>
    <row r="79" spans="1:10">
      <c r="A79" s="40"/>
    </row>
    <row r="80" spans="1:10">
      <c r="A80" s="40"/>
    </row>
    <row r="81" spans="1:1">
      <c r="A81" s="40"/>
    </row>
    <row r="82" spans="1:1">
      <c r="A82" s="40"/>
    </row>
    <row r="83" spans="1:1">
      <c r="A83" s="40"/>
    </row>
    <row r="84" spans="1:1">
      <c r="A84" s="40"/>
    </row>
    <row r="85" spans="1:1">
      <c r="A85" s="40"/>
    </row>
    <row r="86" spans="1:1">
      <c r="A86" s="40"/>
    </row>
    <row r="87" spans="1:1">
      <c r="A87" s="40"/>
    </row>
    <row r="88" spans="1:1">
      <c r="A88" s="40"/>
    </row>
    <row r="89" spans="1:1">
      <c r="A89" s="40"/>
    </row>
    <row r="90" spans="1:1">
      <c r="A90" s="40"/>
    </row>
    <row r="91" spans="1:1">
      <c r="A91" s="40"/>
    </row>
    <row r="92" spans="1:1">
      <c r="A92" s="40"/>
    </row>
    <row r="93" spans="1:1">
      <c r="A93" s="40"/>
    </row>
    <row r="94" spans="1:1">
      <c r="A94" s="40"/>
    </row>
    <row r="95" spans="1:1">
      <c r="A95" s="40"/>
    </row>
    <row r="96" spans="1:1">
      <c r="A96" s="40"/>
    </row>
    <row r="97" spans="1:1">
      <c r="A97" s="40"/>
    </row>
    <row r="98" spans="1:1">
      <c r="A98" s="40"/>
    </row>
    <row r="99" spans="1:1">
      <c r="A99" s="40"/>
    </row>
    <row r="100" spans="1:1">
      <c r="A100" s="40"/>
    </row>
  </sheetData>
  <sortState ref="A6:J72">
    <sortCondition ref="J6:J72"/>
    <sortCondition ref="A6:A72"/>
  </sortState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200025</xdr:colOff>
                    <xdr:row>0</xdr:row>
                    <xdr:rowOff>142875</xdr:rowOff>
                  </from>
                  <to>
                    <xdr:col>8</xdr:col>
                    <xdr:colOff>1704975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>
      <c r="A1" s="83" t="s">
        <v>11</v>
      </c>
      <c r="B1" s="83"/>
      <c r="C1" s="83"/>
      <c r="D1" s="83"/>
      <c r="E1" s="83"/>
      <c r="F1" s="83"/>
      <c r="G1" s="83"/>
      <c r="H1" s="83"/>
      <c r="I1" s="83"/>
    </row>
    <row r="2" spans="1:9" ht="9" customHeight="1">
      <c r="A2" s="5"/>
      <c r="B2" s="6"/>
      <c r="C2" s="6"/>
      <c r="D2" s="6"/>
      <c r="E2" s="6"/>
      <c r="F2" s="6"/>
      <c r="G2" s="6"/>
      <c r="H2" s="6"/>
      <c r="I2" s="6"/>
    </row>
    <row r="3" spans="1:9" ht="18.75">
      <c r="A3" s="7" t="s">
        <v>22</v>
      </c>
      <c r="B3" s="8"/>
      <c r="C3" s="8" t="s">
        <v>19</v>
      </c>
      <c r="D3" s="8"/>
      <c r="E3" s="8" t="s">
        <v>20</v>
      </c>
      <c r="F3" s="9"/>
      <c r="G3" s="9"/>
      <c r="H3" s="8" t="s">
        <v>21</v>
      </c>
      <c r="I3" s="10"/>
    </row>
    <row r="4" spans="1:9" ht="11.25" customHeight="1" thickBot="1">
      <c r="A4" s="5"/>
      <c r="B4" s="6"/>
      <c r="C4" s="6"/>
      <c r="D4" s="6"/>
      <c r="E4" s="6"/>
      <c r="F4" s="6"/>
      <c r="G4" s="6"/>
      <c r="H4" s="6"/>
      <c r="I4" s="6"/>
    </row>
    <row r="5" spans="1:9" ht="16.5" thickBot="1">
      <c r="A5" s="11" t="s">
        <v>0</v>
      </c>
      <c r="B5" s="12" t="s">
        <v>4</v>
      </c>
      <c r="C5" s="13" t="s">
        <v>5</v>
      </c>
      <c r="D5" s="14" t="s">
        <v>12</v>
      </c>
      <c r="E5" s="15" t="s">
        <v>13</v>
      </c>
      <c r="F5" s="12" t="s">
        <v>14</v>
      </c>
      <c r="G5" s="13" t="s">
        <v>14</v>
      </c>
      <c r="H5" s="14" t="s">
        <v>6</v>
      </c>
      <c r="I5" s="13" t="s">
        <v>7</v>
      </c>
    </row>
    <row r="6" spans="1:9" ht="33" customHeight="1">
      <c r="A6" s="16"/>
      <c r="B6" s="17"/>
      <c r="C6" s="18"/>
      <c r="D6" s="19"/>
      <c r="E6" s="20"/>
      <c r="F6" s="17"/>
      <c r="G6" s="18"/>
      <c r="H6" s="19"/>
      <c r="I6" s="18"/>
    </row>
    <row r="7" spans="1:9" ht="33" customHeight="1">
      <c r="A7" s="21"/>
      <c r="B7" s="22"/>
      <c r="C7" s="23"/>
      <c r="D7" s="24"/>
      <c r="E7" s="25"/>
      <c r="F7" s="22"/>
      <c r="G7" s="23"/>
      <c r="H7" s="24"/>
      <c r="I7" s="23"/>
    </row>
    <row r="8" spans="1:9" ht="33" customHeight="1">
      <c r="A8" s="21"/>
      <c r="B8" s="22"/>
      <c r="C8" s="23"/>
      <c r="D8" s="24"/>
      <c r="E8" s="25"/>
      <c r="F8" s="22"/>
      <c r="G8" s="23"/>
      <c r="H8" s="24"/>
      <c r="I8" s="23"/>
    </row>
    <row r="9" spans="1:9" ht="33" customHeight="1">
      <c r="A9" s="21"/>
      <c r="B9" s="22"/>
      <c r="C9" s="23"/>
      <c r="D9" s="24"/>
      <c r="E9" s="25"/>
      <c r="F9" s="22"/>
      <c r="G9" s="23"/>
      <c r="H9" s="24"/>
      <c r="I9" s="23"/>
    </row>
    <row r="10" spans="1:9" ht="33" customHeight="1">
      <c r="A10" s="21"/>
      <c r="B10" s="22"/>
      <c r="C10" s="23"/>
      <c r="D10" s="24"/>
      <c r="E10" s="25"/>
      <c r="F10" s="22"/>
      <c r="G10" s="23"/>
      <c r="H10" s="24"/>
      <c r="I10" s="23"/>
    </row>
    <row r="11" spans="1:9" ht="33" customHeight="1">
      <c r="A11" s="21"/>
      <c r="B11" s="22"/>
      <c r="C11" s="23"/>
      <c r="D11" s="24"/>
      <c r="E11" s="25"/>
      <c r="F11" s="22"/>
      <c r="G11" s="23"/>
      <c r="H11" s="24"/>
      <c r="I11" s="23"/>
    </row>
    <row r="12" spans="1:9" ht="33" customHeight="1">
      <c r="A12" s="21"/>
      <c r="B12" s="22"/>
      <c r="C12" s="23"/>
      <c r="D12" s="24"/>
      <c r="E12" s="25"/>
      <c r="F12" s="22"/>
      <c r="G12" s="23"/>
      <c r="H12" s="24"/>
      <c r="I12" s="23"/>
    </row>
    <row r="13" spans="1:9" ht="33" customHeight="1">
      <c r="A13" s="21"/>
      <c r="B13" s="22"/>
      <c r="C13" s="23"/>
      <c r="D13" s="24"/>
      <c r="E13" s="25"/>
      <c r="F13" s="22"/>
      <c r="G13" s="23"/>
      <c r="H13" s="24"/>
      <c r="I13" s="23"/>
    </row>
    <row r="14" spans="1:9" ht="33" customHeight="1">
      <c r="A14" s="21"/>
      <c r="B14" s="22"/>
      <c r="C14" s="23"/>
      <c r="D14" s="24"/>
      <c r="E14" s="25"/>
      <c r="F14" s="22"/>
      <c r="G14" s="23"/>
      <c r="H14" s="24"/>
      <c r="I14" s="23"/>
    </row>
    <row r="15" spans="1:9" ht="33" customHeight="1">
      <c r="A15" s="21"/>
      <c r="B15" s="22"/>
      <c r="C15" s="23"/>
      <c r="D15" s="24"/>
      <c r="E15" s="25"/>
      <c r="F15" s="22"/>
      <c r="G15" s="23"/>
      <c r="H15" s="24"/>
      <c r="I15" s="23"/>
    </row>
    <row r="16" spans="1:9" ht="33" customHeight="1">
      <c r="A16" s="21"/>
      <c r="B16" s="22"/>
      <c r="C16" s="23"/>
      <c r="D16" s="24"/>
      <c r="E16" s="25"/>
      <c r="F16" s="22"/>
      <c r="G16" s="23"/>
      <c r="H16" s="24"/>
      <c r="I16" s="23"/>
    </row>
    <row r="17" spans="1:9" ht="33" customHeight="1">
      <c r="A17" s="21"/>
      <c r="B17" s="22"/>
      <c r="C17" s="23"/>
      <c r="D17" s="24"/>
      <c r="E17" s="25"/>
      <c r="F17" s="22"/>
      <c r="G17" s="23"/>
      <c r="H17" s="24"/>
      <c r="I17" s="23"/>
    </row>
    <row r="18" spans="1:9" ht="33" customHeight="1">
      <c r="A18" s="21"/>
      <c r="B18" s="22"/>
      <c r="C18" s="23"/>
      <c r="D18" s="24"/>
      <c r="E18" s="25"/>
      <c r="F18" s="22"/>
      <c r="G18" s="23"/>
      <c r="H18" s="24"/>
      <c r="I18" s="23"/>
    </row>
    <row r="19" spans="1:9" ht="33" customHeight="1">
      <c r="A19" s="21"/>
      <c r="B19" s="22"/>
      <c r="C19" s="23"/>
      <c r="D19" s="24"/>
      <c r="E19" s="25"/>
      <c r="F19" s="22"/>
      <c r="G19" s="23"/>
      <c r="H19" s="24"/>
      <c r="I19" s="23"/>
    </row>
    <row r="20" spans="1:9" ht="33" customHeight="1" thickBot="1">
      <c r="A20" s="26"/>
      <c r="B20" s="27"/>
      <c r="C20" s="28"/>
      <c r="D20" s="29"/>
      <c r="E20" s="30"/>
      <c r="F20" s="27"/>
      <c r="G20" s="28"/>
      <c r="H20" s="29"/>
      <c r="I20" s="28"/>
    </row>
    <row r="21" spans="1:9">
      <c r="A21" s="5"/>
      <c r="B21" s="6"/>
      <c r="C21" s="6"/>
      <c r="D21" s="6"/>
      <c r="E21" s="6"/>
      <c r="F21" s="6"/>
      <c r="G21" s="6"/>
      <c r="H21" s="6"/>
      <c r="I21" s="6"/>
    </row>
    <row r="22" spans="1:9" ht="18.75">
      <c r="A22" s="84" t="s">
        <v>15</v>
      </c>
      <c r="B22" s="84"/>
      <c r="C22" s="84"/>
      <c r="D22" s="84"/>
      <c r="E22" s="31"/>
      <c r="F22" s="31"/>
      <c r="G22" s="31"/>
      <c r="H22" s="31"/>
      <c r="I22" s="31"/>
    </row>
    <row r="23" spans="1:9">
      <c r="A23" s="5"/>
      <c r="B23" s="6"/>
      <c r="C23" s="6"/>
      <c r="D23" s="6"/>
      <c r="E23" s="6"/>
      <c r="F23" s="6"/>
      <c r="G23" s="6"/>
      <c r="H23" s="6"/>
      <c r="I23" s="6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33"/>
  <sheetViews>
    <sheetView view="pageLayout" zoomScaleNormal="100" workbookViewId="0">
      <selection activeCell="B11" sqref="B11"/>
    </sheetView>
  </sheetViews>
  <sheetFormatPr defaultRowHeight="15"/>
  <cols>
    <col min="1" max="1" width="11" customWidth="1"/>
    <col min="5" max="5" width="3.7109375" customWidth="1"/>
    <col min="7" max="7" width="12.5703125" customWidth="1"/>
    <col min="8" max="8" width="13.7109375" customWidth="1"/>
  </cols>
  <sheetData>
    <row r="1" spans="1:9" ht="60.6" customHeight="1"/>
    <row r="2" spans="1:9" ht="27" customHeight="1"/>
    <row r="3" spans="1:9" ht="53.25" customHeight="1">
      <c r="A3" s="87" t="str">
        <f>UPPER("Kvittering for betaling av dommere i BARNEHÅNDBALLturneringer")</f>
        <v>KVITTERING FOR BETALING AV DOMMERE I BARNEHÅNDBALLTURNERINGER</v>
      </c>
      <c r="B3" s="87"/>
      <c r="C3" s="87"/>
      <c r="D3" s="87"/>
      <c r="E3" s="87"/>
      <c r="F3" s="87"/>
      <c r="G3" s="87"/>
      <c r="H3" s="87"/>
      <c r="I3" s="87"/>
    </row>
    <row r="4" spans="1:9" ht="7.5" customHeight="1"/>
    <row r="5" spans="1:9" ht="22.5">
      <c r="A5" s="56" t="s">
        <v>189</v>
      </c>
      <c r="B5" s="88"/>
      <c r="C5" s="88"/>
      <c r="D5" s="88"/>
      <c r="E5" s="88"/>
      <c r="F5" s="88"/>
      <c r="G5" s="88"/>
      <c r="H5" s="88"/>
    </row>
    <row r="8" spans="1:9" ht="22.5">
      <c r="A8" s="56" t="s">
        <v>190</v>
      </c>
      <c r="B8" s="88"/>
      <c r="C8" s="88"/>
      <c r="D8" s="88"/>
    </row>
    <row r="10" spans="1:9" ht="22.5">
      <c r="A10" s="56" t="s">
        <v>191</v>
      </c>
      <c r="B10" s="88"/>
      <c r="C10" s="88"/>
      <c r="D10" s="88"/>
      <c r="E10" s="88"/>
      <c r="F10" s="88"/>
      <c r="G10" s="88"/>
      <c r="H10" s="88"/>
    </row>
    <row r="12" spans="1:9" ht="51" customHeight="1"/>
    <row r="13" spans="1:9" ht="22.5">
      <c r="A13" s="56" t="s">
        <v>192</v>
      </c>
      <c r="F13" s="62"/>
      <c r="G13" s="58" t="s">
        <v>198</v>
      </c>
      <c r="H13" s="61"/>
    </row>
    <row r="14" spans="1:9" ht="14.25" customHeight="1">
      <c r="A14" s="56"/>
      <c r="F14" s="60"/>
      <c r="G14" s="58"/>
      <c r="H14" s="60"/>
    </row>
    <row r="16" spans="1:9" ht="22.5">
      <c r="A16" s="56" t="s">
        <v>193</v>
      </c>
      <c r="F16" s="62"/>
      <c r="G16" s="58" t="s">
        <v>198</v>
      </c>
      <c r="H16" s="61"/>
    </row>
    <row r="17" spans="1:8" ht="14.25" customHeight="1">
      <c r="A17" s="56"/>
      <c r="F17" s="60"/>
      <c r="G17" s="58"/>
      <c r="H17" s="60"/>
    </row>
    <row r="19" spans="1:8" ht="22.5">
      <c r="A19" s="56" t="s">
        <v>194</v>
      </c>
      <c r="G19" s="58" t="s">
        <v>195</v>
      </c>
      <c r="H19" s="61"/>
    </row>
    <row r="21" spans="1:8" ht="31.5" customHeight="1"/>
    <row r="27" spans="1:8" ht="17.25">
      <c r="A27" s="89"/>
      <c r="B27" s="89"/>
      <c r="D27" s="91"/>
      <c r="E27" s="91"/>
    </row>
    <row r="28" spans="1:8" ht="18">
      <c r="A28" s="85" t="s">
        <v>196</v>
      </c>
      <c r="B28" s="85"/>
      <c r="C28" s="59"/>
      <c r="D28" s="90" t="s">
        <v>9</v>
      </c>
      <c r="E28" s="90"/>
    </row>
    <row r="33" spans="1:5" ht="18">
      <c r="A33" s="86" t="s">
        <v>197</v>
      </c>
      <c r="B33" s="86"/>
      <c r="C33" s="86"/>
      <c r="D33" s="86"/>
      <c r="E33" s="86"/>
    </row>
  </sheetData>
  <sheetProtection algorithmName="SHA-512" hashValue="9HdiZ9D3w6gb9MB2jISp9r+SEtOp4UTdJov+b6Iz7nGj6hWkIWbFSXsLdLfhnDifUxnFStJbdXL1OitRivxlJg==" saltValue="eEFkEAAlIFglZ/94tuASyg==" spinCount="100000" sheet="1" objects="1" scenarios="1"/>
  <mergeCells count="9">
    <mergeCell ref="A28:B28"/>
    <mergeCell ref="A33:E33"/>
    <mergeCell ref="A3:I3"/>
    <mergeCell ref="B5:H5"/>
    <mergeCell ref="B8:D8"/>
    <mergeCell ref="B10:H10"/>
    <mergeCell ref="A27:B27"/>
    <mergeCell ref="D28:E28"/>
    <mergeCell ref="D27:E27"/>
  </mergeCells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J42"/>
  <sheetViews>
    <sheetView view="pageLayout" zoomScaleNormal="100" workbookViewId="0">
      <selection activeCell="B5" sqref="B5:F5"/>
    </sheetView>
  </sheetViews>
  <sheetFormatPr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95" t="s">
        <v>200</v>
      </c>
      <c r="J1" s="95"/>
    </row>
    <row r="2" spans="1:10" ht="27" customHeight="1">
      <c r="I2" s="95"/>
      <c r="J2" s="95"/>
    </row>
    <row r="3" spans="1:10" ht="18" customHeight="1">
      <c r="A3" s="63" t="s">
        <v>201</v>
      </c>
      <c r="B3" s="55"/>
      <c r="C3" s="55"/>
      <c r="D3" s="55"/>
      <c r="E3" s="55"/>
      <c r="F3" s="55"/>
      <c r="G3" s="55"/>
      <c r="H3" s="55"/>
      <c r="I3" s="95"/>
      <c r="J3" s="95"/>
    </row>
    <row r="4" spans="1:10" ht="14.25" customHeight="1"/>
    <row r="5" spans="1:10" ht="15.75" customHeight="1">
      <c r="A5" s="76" t="s">
        <v>191</v>
      </c>
      <c r="B5" s="96"/>
      <c r="C5" s="96"/>
      <c r="D5" s="96"/>
      <c r="E5" s="96"/>
      <c r="F5" s="96"/>
      <c r="G5" s="70"/>
      <c r="H5" s="76" t="s">
        <v>190</v>
      </c>
      <c r="I5" s="92"/>
      <c r="J5" s="92"/>
    </row>
    <row r="6" spans="1:10" ht="18" customHeight="1">
      <c r="A6" s="71" t="s">
        <v>202</v>
      </c>
      <c r="B6" s="60"/>
      <c r="C6" s="60"/>
      <c r="D6" s="60"/>
      <c r="E6" s="60"/>
      <c r="F6" s="60"/>
      <c r="G6" s="60"/>
      <c r="H6" s="60"/>
      <c r="I6" s="60"/>
      <c r="J6" s="60"/>
    </row>
    <row r="7" spans="1:10">
      <c r="A7" s="60"/>
      <c r="B7" s="60"/>
      <c r="C7" s="60"/>
      <c r="D7" s="60"/>
      <c r="E7" s="60"/>
      <c r="F7" s="60"/>
      <c r="G7" s="60"/>
      <c r="H7" s="60"/>
      <c r="I7" s="60"/>
      <c r="J7" s="60"/>
    </row>
    <row r="8" spans="1:10" ht="16.5" customHeight="1">
      <c r="A8" s="76" t="s">
        <v>203</v>
      </c>
      <c r="B8" s="92"/>
      <c r="C8" s="92"/>
      <c r="D8" s="92"/>
      <c r="E8" s="92"/>
      <c r="F8" s="92"/>
      <c r="G8" s="60"/>
      <c r="H8" s="93" t="s">
        <v>204</v>
      </c>
      <c r="I8" s="93"/>
      <c r="J8" s="57"/>
    </row>
    <row r="9" spans="1:10" ht="11.25" customHeight="1">
      <c r="A9" s="60"/>
      <c r="B9" s="60"/>
      <c r="C9" s="60"/>
      <c r="D9" s="60"/>
      <c r="E9" s="60"/>
      <c r="F9" s="60"/>
      <c r="G9" s="60"/>
      <c r="H9" s="60"/>
      <c r="I9" s="60"/>
      <c r="J9" s="60"/>
    </row>
    <row r="10" spans="1:10" ht="17.25" customHeight="1">
      <c r="A10" s="76" t="s">
        <v>205</v>
      </c>
      <c r="B10" s="64"/>
      <c r="C10" s="64"/>
      <c r="D10" s="64"/>
      <c r="E10" s="64"/>
      <c r="F10" s="64"/>
      <c r="G10" s="66"/>
      <c r="H10" s="76" t="s">
        <v>206</v>
      </c>
      <c r="I10" s="64"/>
      <c r="J10" s="57"/>
    </row>
    <row r="11" spans="1:10" ht="11.25" customHeight="1">
      <c r="A11" s="60"/>
      <c r="B11" s="60"/>
      <c r="C11" s="60"/>
      <c r="D11" s="60"/>
      <c r="E11" s="60"/>
      <c r="F11" s="60"/>
      <c r="G11" s="60"/>
      <c r="H11" s="60"/>
      <c r="I11" s="60"/>
      <c r="J11" s="60"/>
    </row>
    <row r="12" spans="1:10" ht="15.75" customHeight="1">
      <c r="A12" s="76" t="s">
        <v>207</v>
      </c>
      <c r="B12" s="57"/>
      <c r="C12" s="57"/>
      <c r="D12" s="57"/>
      <c r="E12" s="57"/>
      <c r="F12" s="57"/>
      <c r="G12" s="57"/>
      <c r="H12" s="57"/>
      <c r="I12" s="57"/>
      <c r="J12" s="57"/>
    </row>
    <row r="13" spans="1:10" ht="19.5" customHeight="1">
      <c r="A13" s="65"/>
      <c r="B13" s="60"/>
      <c r="C13" s="60"/>
      <c r="D13" s="60"/>
      <c r="E13" s="60"/>
      <c r="F13" s="67"/>
      <c r="G13" s="67"/>
      <c r="H13" s="68"/>
      <c r="I13" s="68"/>
      <c r="J13" s="60"/>
    </row>
    <row r="14" spans="1:10" ht="15.75" customHeight="1">
      <c r="A14" s="72" t="s">
        <v>208</v>
      </c>
      <c r="B14" s="60"/>
      <c r="C14" s="60"/>
      <c r="D14" s="60"/>
      <c r="E14" s="60"/>
      <c r="F14" s="60"/>
      <c r="G14" s="60"/>
      <c r="H14" s="68"/>
      <c r="I14" s="60"/>
      <c r="J14" s="60"/>
    </row>
    <row r="15" spans="1:10">
      <c r="A15" s="60"/>
      <c r="B15" s="60"/>
      <c r="C15" s="60"/>
      <c r="D15" s="60"/>
      <c r="E15" s="60"/>
      <c r="F15" s="60"/>
      <c r="G15" s="60"/>
      <c r="H15" s="60"/>
      <c r="I15" s="60"/>
      <c r="J15" s="60"/>
    </row>
    <row r="16" spans="1:10" ht="17.100000000000001" customHeight="1">
      <c r="A16" s="73" t="s">
        <v>209</v>
      </c>
      <c r="B16" s="94" t="s">
        <v>210</v>
      </c>
      <c r="C16" s="94"/>
      <c r="D16" s="94"/>
      <c r="E16" s="94"/>
      <c r="F16" s="94"/>
      <c r="G16" s="94"/>
      <c r="H16" s="94"/>
      <c r="I16" s="94"/>
      <c r="J16" s="73" t="s">
        <v>211</v>
      </c>
    </row>
    <row r="17" spans="1:10" ht="17.100000000000001" customHeight="1">
      <c r="A17" s="73"/>
      <c r="B17" s="94"/>
      <c r="C17" s="94"/>
      <c r="D17" s="94"/>
      <c r="E17" s="94"/>
      <c r="F17" s="94"/>
      <c r="G17" s="94"/>
      <c r="H17" s="94"/>
      <c r="I17" s="94"/>
      <c r="J17" s="73"/>
    </row>
    <row r="18" spans="1:10" ht="17.100000000000001" customHeight="1">
      <c r="A18" s="73"/>
      <c r="B18" s="94"/>
      <c r="C18" s="94"/>
      <c r="D18" s="94"/>
      <c r="E18" s="94"/>
      <c r="F18" s="94"/>
      <c r="G18" s="94"/>
      <c r="H18" s="94"/>
      <c r="I18" s="94"/>
      <c r="J18" s="73"/>
    </row>
    <row r="19" spans="1:10" ht="17.100000000000001" customHeight="1">
      <c r="A19" s="73"/>
      <c r="B19" s="94"/>
      <c r="C19" s="94"/>
      <c r="D19" s="94"/>
      <c r="E19" s="94"/>
      <c r="F19" s="94"/>
      <c r="G19" s="94"/>
      <c r="H19" s="94"/>
      <c r="I19" s="94"/>
      <c r="J19" s="73"/>
    </row>
    <row r="20" spans="1:10" ht="17.100000000000001" customHeight="1">
      <c r="A20" s="73"/>
      <c r="B20" s="94"/>
      <c r="C20" s="94"/>
      <c r="D20" s="94"/>
      <c r="E20" s="94"/>
      <c r="F20" s="94"/>
      <c r="G20" s="94"/>
      <c r="H20" s="94"/>
      <c r="I20" s="94"/>
      <c r="J20" s="73"/>
    </row>
    <row r="21" spans="1:10" ht="17.100000000000001" customHeight="1">
      <c r="A21" s="73"/>
      <c r="B21" s="94"/>
      <c r="C21" s="94"/>
      <c r="D21" s="94"/>
      <c r="E21" s="94"/>
      <c r="F21" s="94"/>
      <c r="G21" s="94"/>
      <c r="H21" s="94"/>
      <c r="I21" s="94"/>
      <c r="J21" s="73"/>
    </row>
    <row r="22" spans="1:10" ht="17.100000000000001" customHeight="1">
      <c r="A22" s="73"/>
      <c r="B22" s="94"/>
      <c r="C22" s="94"/>
      <c r="D22" s="94"/>
      <c r="E22" s="94"/>
      <c r="F22" s="94"/>
      <c r="G22" s="94"/>
      <c r="H22" s="94"/>
      <c r="I22" s="94"/>
      <c r="J22" s="73"/>
    </row>
    <row r="23" spans="1:10" ht="17.100000000000001" customHeight="1">
      <c r="A23" s="73"/>
      <c r="B23" s="94"/>
      <c r="C23" s="94"/>
      <c r="D23" s="94"/>
      <c r="E23" s="94"/>
      <c r="F23" s="94"/>
      <c r="G23" s="94"/>
      <c r="H23" s="94"/>
      <c r="I23" s="94"/>
      <c r="J23" s="73"/>
    </row>
    <row r="24" spans="1:10" ht="17.100000000000001" customHeight="1">
      <c r="A24" s="73"/>
      <c r="B24" s="94"/>
      <c r="C24" s="94"/>
      <c r="D24" s="94"/>
      <c r="E24" s="94"/>
      <c r="F24" s="94"/>
      <c r="G24" s="94"/>
      <c r="H24" s="94"/>
      <c r="I24" s="94"/>
      <c r="J24" s="73"/>
    </row>
    <row r="25" spans="1:10" ht="17.100000000000001" customHeight="1">
      <c r="A25" s="73"/>
      <c r="B25" s="94"/>
      <c r="C25" s="94"/>
      <c r="D25" s="94"/>
      <c r="E25" s="94"/>
      <c r="F25" s="94"/>
      <c r="G25" s="94"/>
      <c r="H25" s="94"/>
      <c r="I25" s="94"/>
      <c r="J25" s="73"/>
    </row>
    <row r="26" spans="1:10" ht="17.100000000000001" customHeight="1">
      <c r="A26" s="73"/>
      <c r="B26" s="94"/>
      <c r="C26" s="94"/>
      <c r="D26" s="94"/>
      <c r="E26" s="94"/>
      <c r="F26" s="94"/>
      <c r="G26" s="94"/>
      <c r="H26" s="94"/>
      <c r="I26" s="94"/>
      <c r="J26" s="73"/>
    </row>
    <row r="27" spans="1:10" ht="17.100000000000001" customHeight="1">
      <c r="A27" s="73"/>
      <c r="B27" s="94"/>
      <c r="C27" s="94"/>
      <c r="D27" s="94"/>
      <c r="E27" s="94"/>
      <c r="F27" s="94"/>
      <c r="G27" s="94"/>
      <c r="H27" s="94"/>
      <c r="I27" s="94"/>
      <c r="J27" s="73"/>
    </row>
    <row r="28" spans="1:10" ht="17.100000000000001" customHeight="1">
      <c r="A28" s="73"/>
      <c r="B28" s="94"/>
      <c r="C28" s="94"/>
      <c r="D28" s="94"/>
      <c r="E28" s="94"/>
      <c r="F28" s="94"/>
      <c r="G28" s="94"/>
      <c r="H28" s="94"/>
      <c r="I28" s="94"/>
      <c r="J28" s="73"/>
    </row>
    <row r="29" spans="1:10" ht="17.100000000000001" customHeight="1">
      <c r="A29" s="73"/>
      <c r="B29" s="94"/>
      <c r="C29" s="94"/>
      <c r="D29" s="94"/>
      <c r="E29" s="94"/>
      <c r="F29" s="94"/>
      <c r="G29" s="94"/>
      <c r="H29" s="94"/>
      <c r="I29" s="94"/>
      <c r="J29" s="73"/>
    </row>
    <row r="30" spans="1:10" ht="17.100000000000001" customHeight="1">
      <c r="A30" s="73"/>
      <c r="B30" s="94"/>
      <c r="C30" s="94"/>
      <c r="D30" s="94"/>
      <c r="E30" s="94"/>
      <c r="F30" s="94"/>
      <c r="G30" s="94"/>
      <c r="H30" s="94"/>
      <c r="I30" s="94"/>
      <c r="J30" s="73"/>
    </row>
    <row r="31" spans="1:10" ht="17.100000000000001" customHeight="1">
      <c r="A31" s="73"/>
      <c r="B31" s="94"/>
      <c r="C31" s="94"/>
      <c r="D31" s="94"/>
      <c r="E31" s="94"/>
      <c r="F31" s="94"/>
      <c r="G31" s="94"/>
      <c r="H31" s="94"/>
      <c r="I31" s="94"/>
      <c r="J31" s="73"/>
    </row>
    <row r="32" spans="1:10" ht="17.100000000000001" customHeight="1">
      <c r="A32" s="73"/>
      <c r="B32" s="94"/>
      <c r="C32" s="94"/>
      <c r="D32" s="94"/>
      <c r="E32" s="94"/>
      <c r="F32" s="94"/>
      <c r="G32" s="94"/>
      <c r="H32" s="94"/>
      <c r="I32" s="94"/>
      <c r="J32" s="73"/>
    </row>
    <row r="33" spans="1:10" ht="17.100000000000001" customHeight="1">
      <c r="A33" s="73"/>
      <c r="B33" s="94"/>
      <c r="C33" s="94"/>
      <c r="D33" s="94"/>
      <c r="E33" s="94"/>
      <c r="F33" s="94"/>
      <c r="G33" s="94"/>
      <c r="H33" s="94"/>
      <c r="I33" s="94"/>
      <c r="J33" s="73"/>
    </row>
    <row r="34" spans="1:10" ht="17.100000000000001" customHeight="1">
      <c r="A34" s="73"/>
      <c r="B34" s="94"/>
      <c r="C34" s="94"/>
      <c r="D34" s="94"/>
      <c r="E34" s="94"/>
      <c r="F34" s="94"/>
      <c r="G34" s="94"/>
      <c r="H34" s="94"/>
      <c r="I34" s="94"/>
      <c r="J34" s="73"/>
    </row>
    <row r="35" spans="1:10" ht="17.100000000000001" customHeight="1">
      <c r="A35" s="73"/>
      <c r="B35" s="94"/>
      <c r="C35" s="94"/>
      <c r="D35" s="94"/>
      <c r="E35" s="94"/>
      <c r="F35" s="94"/>
      <c r="G35" s="94"/>
      <c r="H35" s="94"/>
      <c r="I35" s="94"/>
      <c r="J35" s="73"/>
    </row>
    <row r="36" spans="1:10" ht="17.100000000000001" customHeight="1">
      <c r="A36" s="73"/>
      <c r="B36" s="94"/>
      <c r="C36" s="94"/>
      <c r="D36" s="94"/>
      <c r="E36" s="94"/>
      <c r="F36" s="94"/>
      <c r="G36" s="94"/>
      <c r="H36" s="94"/>
      <c r="I36" s="94"/>
      <c r="J36" s="73"/>
    </row>
    <row r="37" spans="1:10" ht="66" customHeight="1">
      <c r="A37" s="97" t="s">
        <v>212</v>
      </c>
      <c r="B37" s="97"/>
      <c r="C37" s="97"/>
      <c r="D37" s="97"/>
      <c r="E37" s="97"/>
      <c r="F37" s="97"/>
      <c r="G37" s="97"/>
      <c r="H37" s="97"/>
      <c r="I37" s="97"/>
      <c r="J37" s="97"/>
    </row>
    <row r="38" spans="1:10" ht="36.75" customHeight="1">
      <c r="A38" s="98" t="s">
        <v>213</v>
      </c>
      <c r="B38" s="98"/>
      <c r="C38" s="98"/>
      <c r="D38" s="98"/>
      <c r="E38" s="98"/>
      <c r="F38" s="98"/>
      <c r="G38" s="98"/>
      <c r="H38" s="98"/>
      <c r="I38" s="98"/>
      <c r="J38" s="98"/>
    </row>
    <row r="39" spans="1:10" ht="33.75" customHeight="1">
      <c r="A39" s="74"/>
      <c r="B39" s="74"/>
      <c r="C39" s="74"/>
      <c r="D39" s="74"/>
      <c r="E39" s="74"/>
      <c r="F39" s="74"/>
      <c r="G39" s="74"/>
      <c r="H39" s="75" t="s">
        <v>214</v>
      </c>
      <c r="I39" s="75"/>
      <c r="J39" s="75"/>
    </row>
    <row r="40" spans="1:10">
      <c r="A40" s="60"/>
      <c r="B40" s="60"/>
      <c r="C40" s="60"/>
      <c r="D40" s="60"/>
      <c r="E40" s="60"/>
      <c r="F40" s="60"/>
      <c r="G40" s="60"/>
      <c r="H40" s="60"/>
      <c r="I40" s="60"/>
      <c r="J40" s="60"/>
    </row>
    <row r="41" spans="1:10" ht="18">
      <c r="A41" s="69"/>
      <c r="B41" s="69"/>
      <c r="C41" s="69"/>
      <c r="D41" s="69"/>
      <c r="E41" s="69"/>
      <c r="F41" s="60"/>
      <c r="G41" s="60"/>
      <c r="H41" s="60"/>
      <c r="I41" s="60"/>
      <c r="J41" s="60"/>
    </row>
    <row r="42" spans="1:10">
      <c r="A42" s="60"/>
      <c r="B42" s="60"/>
      <c r="C42" s="60"/>
      <c r="D42" s="60"/>
      <c r="E42" s="60"/>
      <c r="F42" s="60"/>
      <c r="G42" s="60"/>
      <c r="H42" s="60"/>
      <c r="I42" s="60"/>
      <c r="J42" s="60"/>
    </row>
  </sheetData>
  <sheetProtection algorithmName="SHA-512" hashValue="+LqxBbPZdzyUbWLx2pCMJiw5Dv6/ow1701K0kQuBJwyLrcapeRFBP5BYjNNmvrtJboEVrb7XR70jRFd2x7zcxA==" saltValue="vV3BPdrSTLhEQnrU7rwucg==" spinCount="100000" sheet="1" objects="1" scenarios="1"/>
  <mergeCells count="28">
    <mergeCell ref="A38:J38"/>
    <mergeCell ref="B16:I16"/>
    <mergeCell ref="B17:I17"/>
    <mergeCell ref="B18:I18"/>
    <mergeCell ref="B19:I19"/>
    <mergeCell ref="B20:I20"/>
    <mergeCell ref="B29:I29"/>
    <mergeCell ref="B30:I30"/>
    <mergeCell ref="B31:I31"/>
    <mergeCell ref="B32:I32"/>
    <mergeCell ref="B33:I33"/>
    <mergeCell ref="B34:I34"/>
    <mergeCell ref="B35:I35"/>
    <mergeCell ref="B36:I36"/>
    <mergeCell ref="A37:J37"/>
    <mergeCell ref="B28:I28"/>
    <mergeCell ref="B21:I21"/>
    <mergeCell ref="I1:J3"/>
    <mergeCell ref="B25:I25"/>
    <mergeCell ref="B26:I26"/>
    <mergeCell ref="B24:I24"/>
    <mergeCell ref="B27:I27"/>
    <mergeCell ref="B5:F5"/>
    <mergeCell ref="I5:J5"/>
    <mergeCell ref="H8:I8"/>
    <mergeCell ref="B8:F8"/>
    <mergeCell ref="B22:I22"/>
    <mergeCell ref="B23:I23"/>
  </mergeCells>
  <pageMargins left="0.6692913385826772" right="0.6692913385826772" top="0.43307086614173229" bottom="0.62992125984251968" header="0" footer="0"/>
  <pageSetup paperSize="9" orientation="portrait" horizontalDpi="0" verticalDpi="0" r:id="rId1"/>
  <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J42"/>
  <sheetViews>
    <sheetView view="pageLayout" zoomScaleNormal="100" workbookViewId="0">
      <selection activeCell="H8" sqref="H8"/>
    </sheetView>
  </sheetViews>
  <sheetFormatPr defaultRowHeight="15"/>
  <cols>
    <col min="1" max="1" width="11" customWidth="1"/>
    <col min="5" max="5" width="3.7109375" customWidth="1"/>
    <col min="6" max="6" width="6.7109375" customWidth="1"/>
    <col min="7" max="7" width="1.42578125" customWidth="1"/>
    <col min="8" max="8" width="9.140625" customWidth="1"/>
    <col min="9" max="10" width="13.7109375" customWidth="1"/>
  </cols>
  <sheetData>
    <row r="1" spans="1:10" ht="60.6" customHeight="1">
      <c r="I1" s="95" t="s">
        <v>200</v>
      </c>
      <c r="J1" s="95"/>
    </row>
    <row r="2" spans="1:10" ht="27" customHeight="1">
      <c r="I2" s="95"/>
      <c r="J2" s="95"/>
    </row>
    <row r="3" spans="1:10" ht="18" customHeight="1">
      <c r="A3" s="63" t="s">
        <v>215</v>
      </c>
      <c r="B3" s="55"/>
      <c r="C3" s="55"/>
      <c r="D3" s="55"/>
      <c r="E3" s="55"/>
      <c r="F3" s="55"/>
      <c r="G3" s="55"/>
      <c r="H3" s="55"/>
      <c r="I3" s="95"/>
      <c r="J3" s="95"/>
    </row>
    <row r="4" spans="1:10" ht="14.25" customHeight="1"/>
    <row r="5" spans="1:10" ht="15.75" customHeight="1">
      <c r="A5" s="76" t="s">
        <v>191</v>
      </c>
      <c r="B5" s="96"/>
      <c r="C5" s="96"/>
      <c r="D5" s="96"/>
      <c r="E5" s="96"/>
      <c r="F5" s="96"/>
      <c r="G5" s="70"/>
      <c r="H5" s="76" t="s">
        <v>190</v>
      </c>
      <c r="I5" s="92"/>
      <c r="J5" s="92"/>
    </row>
    <row r="6" spans="1:10" ht="18" customHeight="1">
      <c r="A6" s="71" t="s">
        <v>202</v>
      </c>
      <c r="B6" s="60"/>
      <c r="C6" s="60"/>
      <c r="D6" s="60"/>
      <c r="E6" s="60"/>
      <c r="F6" s="60"/>
      <c r="G6" s="60"/>
      <c r="H6" s="60"/>
      <c r="I6" s="60"/>
      <c r="J6" s="60"/>
    </row>
    <row r="7" spans="1:10">
      <c r="A7" s="60"/>
      <c r="B7" s="60"/>
      <c r="C7" s="60"/>
      <c r="D7" s="60"/>
      <c r="E7" s="60"/>
      <c r="F7" s="60"/>
      <c r="G7" s="60"/>
      <c r="H7" s="60"/>
      <c r="I7" s="60"/>
      <c r="J7" s="60"/>
    </row>
    <row r="8" spans="1:10" ht="16.5" customHeight="1">
      <c r="A8" s="76" t="s">
        <v>189</v>
      </c>
      <c r="B8" s="92"/>
      <c r="C8" s="92"/>
      <c r="D8" s="92"/>
      <c r="E8" s="79" t="s">
        <v>204</v>
      </c>
      <c r="F8" s="80"/>
      <c r="G8" s="80"/>
      <c r="H8" s="77"/>
      <c r="I8" s="78" t="s">
        <v>216</v>
      </c>
      <c r="J8" s="76"/>
    </row>
    <row r="9" spans="1:10" ht="11.25" customHeight="1">
      <c r="A9" s="60"/>
      <c r="B9" s="60"/>
      <c r="C9" s="60"/>
      <c r="D9" s="60"/>
      <c r="E9" s="60"/>
      <c r="F9" s="60"/>
      <c r="G9" s="60"/>
      <c r="H9" s="60"/>
      <c r="I9" s="60"/>
      <c r="J9" s="60"/>
    </row>
    <row r="10" spans="1:10" ht="17.25" customHeight="1">
      <c r="A10" s="76" t="s">
        <v>205</v>
      </c>
      <c r="B10" s="64"/>
      <c r="C10" s="64"/>
      <c r="D10" s="64"/>
      <c r="E10" s="64"/>
      <c r="F10" s="64"/>
      <c r="G10" s="66"/>
      <c r="H10" s="76" t="s">
        <v>206</v>
      </c>
      <c r="I10" s="64"/>
      <c r="J10" s="57"/>
    </row>
    <row r="11" spans="1:10" ht="11.25" customHeight="1">
      <c r="A11" s="60"/>
      <c r="B11" s="60"/>
      <c r="C11" s="60"/>
      <c r="D11" s="60"/>
      <c r="E11" s="60"/>
      <c r="F11" s="60"/>
      <c r="G11" s="60"/>
      <c r="H11" s="60"/>
      <c r="I11" s="60"/>
      <c r="J11" s="60"/>
    </row>
    <row r="12" spans="1:10" ht="15.75" customHeight="1">
      <c r="A12" s="76" t="s">
        <v>207</v>
      </c>
      <c r="B12" s="57"/>
      <c r="C12" s="57"/>
      <c r="D12" s="57"/>
      <c r="E12" s="57"/>
      <c r="F12" s="57"/>
      <c r="G12" s="57"/>
      <c r="H12" s="57"/>
      <c r="I12" s="57"/>
      <c r="J12" s="57"/>
    </row>
    <row r="13" spans="1:10" ht="19.5" customHeight="1">
      <c r="A13" s="65"/>
      <c r="B13" s="60"/>
      <c r="C13" s="60"/>
      <c r="D13" s="60"/>
      <c r="E13" s="60"/>
      <c r="F13" s="67"/>
      <c r="G13" s="67"/>
      <c r="H13" s="68"/>
      <c r="I13" s="68"/>
      <c r="J13" s="60"/>
    </row>
    <row r="14" spans="1:10" ht="15.75" customHeight="1">
      <c r="A14" s="72" t="s">
        <v>208</v>
      </c>
      <c r="B14" s="60"/>
      <c r="C14" s="60"/>
      <c r="D14" s="60"/>
      <c r="E14" s="60"/>
      <c r="F14" s="60"/>
      <c r="G14" s="60"/>
      <c r="H14" s="68"/>
      <c r="I14" s="60"/>
      <c r="J14" s="60"/>
    </row>
    <row r="15" spans="1:10">
      <c r="A15" s="60"/>
      <c r="B15" s="60"/>
      <c r="C15" s="60"/>
      <c r="D15" s="60"/>
      <c r="E15" s="60"/>
      <c r="F15" s="60"/>
      <c r="G15" s="60"/>
      <c r="H15" s="60"/>
      <c r="I15" s="60"/>
      <c r="J15" s="60"/>
    </row>
    <row r="16" spans="1:10" ht="17.100000000000001" customHeight="1">
      <c r="A16" s="73" t="s">
        <v>209</v>
      </c>
      <c r="B16" s="94" t="s">
        <v>210</v>
      </c>
      <c r="C16" s="94"/>
      <c r="D16" s="94"/>
      <c r="E16" s="94"/>
      <c r="F16" s="94"/>
      <c r="G16" s="94"/>
      <c r="H16" s="94"/>
      <c r="I16" s="94"/>
      <c r="J16" s="73" t="s">
        <v>211</v>
      </c>
    </row>
    <row r="17" spans="1:10" ht="17.100000000000001" customHeight="1">
      <c r="A17" s="73"/>
      <c r="B17" s="94"/>
      <c r="C17" s="94"/>
      <c r="D17" s="94"/>
      <c r="E17" s="94"/>
      <c r="F17" s="94"/>
      <c r="G17" s="94"/>
      <c r="H17" s="94"/>
      <c r="I17" s="94"/>
      <c r="J17" s="73"/>
    </row>
    <row r="18" spans="1:10" ht="17.100000000000001" customHeight="1">
      <c r="A18" s="73"/>
      <c r="B18" s="94"/>
      <c r="C18" s="94"/>
      <c r="D18" s="94"/>
      <c r="E18" s="94"/>
      <c r="F18" s="94"/>
      <c r="G18" s="94"/>
      <c r="H18" s="94"/>
      <c r="I18" s="94"/>
      <c r="J18" s="73"/>
    </row>
    <row r="19" spans="1:10" ht="17.100000000000001" customHeight="1">
      <c r="A19" s="73"/>
      <c r="B19" s="94"/>
      <c r="C19" s="94"/>
      <c r="D19" s="94"/>
      <c r="E19" s="94"/>
      <c r="F19" s="94"/>
      <c r="G19" s="94"/>
      <c r="H19" s="94"/>
      <c r="I19" s="94"/>
      <c r="J19" s="73"/>
    </row>
    <row r="20" spans="1:10" ht="17.100000000000001" customHeight="1">
      <c r="A20" s="73"/>
      <c r="B20" s="94"/>
      <c r="C20" s="94"/>
      <c r="D20" s="94"/>
      <c r="E20" s="94"/>
      <c r="F20" s="94"/>
      <c r="G20" s="94"/>
      <c r="H20" s="94"/>
      <c r="I20" s="94"/>
      <c r="J20" s="73"/>
    </row>
    <row r="21" spans="1:10" ht="17.100000000000001" customHeight="1">
      <c r="A21" s="73"/>
      <c r="B21" s="94"/>
      <c r="C21" s="94"/>
      <c r="D21" s="94"/>
      <c r="E21" s="94"/>
      <c r="F21" s="94"/>
      <c r="G21" s="94"/>
      <c r="H21" s="94"/>
      <c r="I21" s="94"/>
      <c r="J21" s="73"/>
    </row>
    <row r="22" spans="1:10" ht="17.100000000000001" customHeight="1">
      <c r="A22" s="73"/>
      <c r="B22" s="94"/>
      <c r="C22" s="94"/>
      <c r="D22" s="94"/>
      <c r="E22" s="94"/>
      <c r="F22" s="94"/>
      <c r="G22" s="94"/>
      <c r="H22" s="94"/>
      <c r="I22" s="94"/>
      <c r="J22" s="73"/>
    </row>
    <row r="23" spans="1:10" ht="17.100000000000001" customHeight="1">
      <c r="A23" s="73"/>
      <c r="B23" s="94"/>
      <c r="C23" s="94"/>
      <c r="D23" s="94"/>
      <c r="E23" s="94"/>
      <c r="F23" s="94"/>
      <c r="G23" s="94"/>
      <c r="H23" s="94"/>
      <c r="I23" s="94"/>
      <c r="J23" s="73"/>
    </row>
    <row r="24" spans="1:10" ht="17.100000000000001" customHeight="1">
      <c r="A24" s="73"/>
      <c r="B24" s="94"/>
      <c r="C24" s="94"/>
      <c r="D24" s="94"/>
      <c r="E24" s="94"/>
      <c r="F24" s="94"/>
      <c r="G24" s="94"/>
      <c r="H24" s="94"/>
      <c r="I24" s="94"/>
      <c r="J24" s="73"/>
    </row>
    <row r="25" spans="1:10" ht="17.100000000000001" customHeight="1">
      <c r="A25" s="73"/>
      <c r="B25" s="94"/>
      <c r="C25" s="94"/>
      <c r="D25" s="94"/>
      <c r="E25" s="94"/>
      <c r="F25" s="94"/>
      <c r="G25" s="94"/>
      <c r="H25" s="94"/>
      <c r="I25" s="94"/>
      <c r="J25" s="73"/>
    </row>
    <row r="26" spans="1:10" ht="17.100000000000001" customHeight="1">
      <c r="A26" s="73"/>
      <c r="B26" s="94"/>
      <c r="C26" s="94"/>
      <c r="D26" s="94"/>
      <c r="E26" s="94"/>
      <c r="F26" s="94"/>
      <c r="G26" s="94"/>
      <c r="H26" s="94"/>
      <c r="I26" s="94"/>
      <c r="J26" s="73"/>
    </row>
    <row r="27" spans="1:10" ht="17.100000000000001" customHeight="1">
      <c r="A27" s="73"/>
      <c r="B27" s="94"/>
      <c r="C27" s="94"/>
      <c r="D27" s="94"/>
      <c r="E27" s="94"/>
      <c r="F27" s="94"/>
      <c r="G27" s="94"/>
      <c r="H27" s="94"/>
      <c r="I27" s="94"/>
      <c r="J27" s="73"/>
    </row>
    <row r="28" spans="1:10" ht="17.100000000000001" customHeight="1">
      <c r="A28" s="73"/>
      <c r="B28" s="94"/>
      <c r="C28" s="94"/>
      <c r="D28" s="94"/>
      <c r="E28" s="94"/>
      <c r="F28" s="94"/>
      <c r="G28" s="94"/>
      <c r="H28" s="94"/>
      <c r="I28" s="94"/>
      <c r="J28" s="73"/>
    </row>
    <row r="29" spans="1:10" ht="17.100000000000001" customHeight="1">
      <c r="A29" s="73"/>
      <c r="B29" s="94"/>
      <c r="C29" s="94"/>
      <c r="D29" s="94"/>
      <c r="E29" s="94"/>
      <c r="F29" s="94"/>
      <c r="G29" s="94"/>
      <c r="H29" s="94"/>
      <c r="I29" s="94"/>
      <c r="J29" s="73"/>
    </row>
    <row r="30" spans="1:10" ht="17.100000000000001" customHeight="1">
      <c r="A30" s="73"/>
      <c r="B30" s="94"/>
      <c r="C30" s="94"/>
      <c r="D30" s="94"/>
      <c r="E30" s="94"/>
      <c r="F30" s="94"/>
      <c r="G30" s="94"/>
      <c r="H30" s="94"/>
      <c r="I30" s="94"/>
      <c r="J30" s="73"/>
    </row>
    <row r="31" spans="1:10" ht="17.100000000000001" customHeight="1">
      <c r="A31" s="73"/>
      <c r="B31" s="94"/>
      <c r="C31" s="94"/>
      <c r="D31" s="94"/>
      <c r="E31" s="94"/>
      <c r="F31" s="94"/>
      <c r="G31" s="94"/>
      <c r="H31" s="94"/>
      <c r="I31" s="94"/>
      <c r="J31" s="73"/>
    </row>
    <row r="32" spans="1:10" ht="17.100000000000001" customHeight="1">
      <c r="A32" s="73"/>
      <c r="B32" s="94"/>
      <c r="C32" s="94"/>
      <c r="D32" s="94"/>
      <c r="E32" s="94"/>
      <c r="F32" s="94"/>
      <c r="G32" s="94"/>
      <c r="H32" s="94"/>
      <c r="I32" s="94"/>
      <c r="J32" s="73"/>
    </row>
    <row r="33" spans="1:10" ht="17.100000000000001" customHeight="1">
      <c r="A33" s="73"/>
      <c r="B33" s="94"/>
      <c r="C33" s="94"/>
      <c r="D33" s="94"/>
      <c r="E33" s="94"/>
      <c r="F33" s="94"/>
      <c r="G33" s="94"/>
      <c r="H33" s="94"/>
      <c r="I33" s="94"/>
      <c r="J33" s="73"/>
    </row>
    <row r="34" spans="1:10" ht="17.100000000000001" customHeight="1">
      <c r="A34" s="73"/>
      <c r="B34" s="94"/>
      <c r="C34" s="94"/>
      <c r="D34" s="94"/>
      <c r="E34" s="94"/>
      <c r="F34" s="94"/>
      <c r="G34" s="94"/>
      <c r="H34" s="94"/>
      <c r="I34" s="94"/>
      <c r="J34" s="73"/>
    </row>
    <row r="35" spans="1:10" ht="17.100000000000001" customHeight="1">
      <c r="A35" s="73"/>
      <c r="B35" s="94"/>
      <c r="C35" s="94"/>
      <c r="D35" s="94"/>
      <c r="E35" s="94"/>
      <c r="F35" s="94"/>
      <c r="G35" s="94"/>
      <c r="H35" s="94"/>
      <c r="I35" s="94"/>
      <c r="J35" s="73"/>
    </row>
    <row r="36" spans="1:10" ht="17.100000000000001" customHeight="1">
      <c r="A36" s="73"/>
      <c r="B36" s="94"/>
      <c r="C36" s="94"/>
      <c r="D36" s="94"/>
      <c r="E36" s="94"/>
      <c r="F36" s="94"/>
      <c r="G36" s="94"/>
      <c r="H36" s="94"/>
      <c r="I36" s="94"/>
      <c r="J36" s="73"/>
    </row>
    <row r="37" spans="1:10" ht="66" customHeight="1">
      <c r="A37" s="97" t="s">
        <v>217</v>
      </c>
      <c r="B37" s="97"/>
      <c r="C37" s="97"/>
      <c r="D37" s="97"/>
      <c r="E37" s="97"/>
      <c r="F37" s="97"/>
      <c r="G37" s="97"/>
      <c r="H37" s="97"/>
      <c r="I37" s="97"/>
      <c r="J37" s="97"/>
    </row>
    <row r="38" spans="1:10" ht="36.75" customHeight="1">
      <c r="A38" s="98" t="s">
        <v>213</v>
      </c>
      <c r="B38" s="98"/>
      <c r="C38" s="98"/>
      <c r="D38" s="98"/>
      <c r="E38" s="98"/>
      <c r="F38" s="98"/>
      <c r="G38" s="98"/>
      <c r="H38" s="98"/>
      <c r="I38" s="98"/>
      <c r="J38" s="98"/>
    </row>
    <row r="39" spans="1:10" ht="33.75" customHeight="1">
      <c r="A39" s="74"/>
      <c r="B39" s="74"/>
      <c r="C39" s="74"/>
      <c r="D39" s="74"/>
      <c r="E39" s="74"/>
      <c r="F39" s="74"/>
      <c r="G39" s="74"/>
      <c r="H39" s="75" t="s">
        <v>214</v>
      </c>
      <c r="I39" s="75"/>
      <c r="J39" s="75"/>
    </row>
    <row r="40" spans="1:10">
      <c r="A40" s="60"/>
      <c r="B40" s="60"/>
      <c r="C40" s="60"/>
      <c r="D40" s="60"/>
      <c r="E40" s="60"/>
      <c r="F40" s="60"/>
      <c r="G40" s="60"/>
      <c r="H40" s="60"/>
      <c r="I40" s="60"/>
      <c r="J40" s="60"/>
    </row>
    <row r="41" spans="1:10" ht="18">
      <c r="A41" s="69"/>
      <c r="B41" s="69"/>
      <c r="C41" s="69"/>
      <c r="D41" s="69"/>
      <c r="E41" s="69"/>
      <c r="F41" s="60"/>
      <c r="G41" s="60"/>
      <c r="H41" s="60"/>
      <c r="I41" s="60"/>
      <c r="J41" s="60"/>
    </row>
    <row r="42" spans="1:10">
      <c r="A42" s="60"/>
      <c r="B42" s="60"/>
      <c r="C42" s="60"/>
      <c r="D42" s="60"/>
      <c r="E42" s="60"/>
      <c r="F42" s="60"/>
      <c r="G42" s="60"/>
      <c r="H42" s="60"/>
      <c r="I42" s="60"/>
      <c r="J42" s="60"/>
    </row>
  </sheetData>
  <sheetProtection algorithmName="SHA-512" hashValue="O4E7i+4w8poswzazrYPBMDCyxN5cFHng0k0ekmvWvrNjNsT0k61BSe/FpARv/Z+mzedIvfhJv34BUP6iZwd0ow==" saltValue="u3FTVvCNd5OyLvA2tiplVQ==" spinCount="100000" sheet="1" objects="1" scenarios="1"/>
  <mergeCells count="27">
    <mergeCell ref="I1:J3"/>
    <mergeCell ref="B5:F5"/>
    <mergeCell ref="I5:J5"/>
    <mergeCell ref="B16:I16"/>
    <mergeCell ref="B28:I28"/>
    <mergeCell ref="B17:I17"/>
    <mergeCell ref="B18:I18"/>
    <mergeCell ref="B19:I19"/>
    <mergeCell ref="B20:I20"/>
    <mergeCell ref="B21:I21"/>
    <mergeCell ref="B22:I22"/>
    <mergeCell ref="B35:I35"/>
    <mergeCell ref="B36:I36"/>
    <mergeCell ref="A37:J37"/>
    <mergeCell ref="A38:J38"/>
    <mergeCell ref="B8:D8"/>
    <mergeCell ref="B29:I29"/>
    <mergeCell ref="B30:I30"/>
    <mergeCell ref="B31:I31"/>
    <mergeCell ref="B32:I32"/>
    <mergeCell ref="B33:I33"/>
    <mergeCell ref="B34:I34"/>
    <mergeCell ref="B23:I23"/>
    <mergeCell ref="B24:I24"/>
    <mergeCell ref="B25:I25"/>
    <mergeCell ref="B26:I26"/>
    <mergeCell ref="B27:I27"/>
  </mergeCells>
  <pageMargins left="0.6692913385826772" right="0.6692913385826772" top="0.43307086614173229" bottom="0.62992125984251968" header="0" footer="0"/>
  <pageSetup paperSize="9" orientation="portrait" horizontalDpi="0" verticalDpi="0" r:id="rId1"/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>
      <selection activeCell="A4" sqref="A4:E40"/>
    </sheetView>
  </sheetViews>
  <sheetFormatPr defaultRowHeight="1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>
      <c r="A1" s="38" t="s">
        <v>49</v>
      </c>
    </row>
    <row r="2" spans="1:5">
      <c r="A2" s="37"/>
    </row>
    <row r="3" spans="1:5">
      <c r="A3" s="47" t="s">
        <v>23</v>
      </c>
      <c r="B3" s="47" t="s">
        <v>24</v>
      </c>
      <c r="C3" s="47" t="s">
        <v>6</v>
      </c>
      <c r="D3" s="47" t="s">
        <v>25</v>
      </c>
      <c r="E3" s="47" t="s">
        <v>26</v>
      </c>
    </row>
    <row r="4" spans="1:5">
      <c r="A4" t="s">
        <v>27</v>
      </c>
      <c r="C4" t="s">
        <v>28</v>
      </c>
      <c r="D4">
        <v>41258495</v>
      </c>
    </row>
    <row r="5" spans="1:5">
      <c r="A5" t="s">
        <v>29</v>
      </c>
      <c r="C5" t="s">
        <v>28</v>
      </c>
      <c r="D5">
        <v>90623781</v>
      </c>
    </row>
    <row r="6" spans="1:5">
      <c r="A6" t="s">
        <v>30</v>
      </c>
      <c r="C6" t="s">
        <v>28</v>
      </c>
      <c r="D6">
        <v>46630323</v>
      </c>
    </row>
    <row r="7" spans="1:5">
      <c r="A7" t="s">
        <v>31</v>
      </c>
      <c r="C7" t="s">
        <v>28</v>
      </c>
      <c r="D7">
        <v>94809667</v>
      </c>
    </row>
    <row r="8" spans="1:5">
      <c r="A8" t="s">
        <v>32</v>
      </c>
      <c r="C8" t="s">
        <v>28</v>
      </c>
    </row>
    <row r="9" spans="1:5">
      <c r="A9" t="s">
        <v>33</v>
      </c>
      <c r="C9" t="s">
        <v>28</v>
      </c>
    </row>
    <row r="10" spans="1:5">
      <c r="A10" t="s">
        <v>34</v>
      </c>
      <c r="C10" t="s">
        <v>28</v>
      </c>
    </row>
    <row r="11" spans="1:5">
      <c r="A11" t="s">
        <v>35</v>
      </c>
    </row>
    <row r="12" spans="1:5">
      <c r="A12" t="s">
        <v>36</v>
      </c>
    </row>
    <row r="13" spans="1:5">
      <c r="A13" t="s">
        <v>37</v>
      </c>
      <c r="C13" t="s">
        <v>28</v>
      </c>
      <c r="D13">
        <v>98607027</v>
      </c>
    </row>
    <row r="14" spans="1:5">
      <c r="A14" t="s">
        <v>38</v>
      </c>
      <c r="B14" t="s">
        <v>28</v>
      </c>
      <c r="D14">
        <v>48606701</v>
      </c>
    </row>
    <row r="15" spans="1:5">
      <c r="A15" t="s">
        <v>39</v>
      </c>
      <c r="B15" t="s">
        <v>28</v>
      </c>
    </row>
    <row r="16" spans="1:5">
      <c r="A16" t="s">
        <v>40</v>
      </c>
      <c r="B16" t="s">
        <v>28</v>
      </c>
      <c r="D16">
        <v>95551449</v>
      </c>
    </row>
    <row r="17" spans="1:4">
      <c r="A17" t="s">
        <v>41</v>
      </c>
      <c r="B17" t="s">
        <v>28</v>
      </c>
      <c r="D17">
        <v>97915101</v>
      </c>
    </row>
    <row r="18" spans="1:4">
      <c r="A18" t="s">
        <v>42</v>
      </c>
      <c r="B18" t="s">
        <v>28</v>
      </c>
      <c r="D18">
        <v>46949380</v>
      </c>
    </row>
    <row r="19" spans="1:4">
      <c r="A19" t="s">
        <v>43</v>
      </c>
      <c r="B19" t="s">
        <v>28</v>
      </c>
      <c r="D19">
        <v>41268495</v>
      </c>
    </row>
    <row r="20" spans="1:4">
      <c r="A20" t="s">
        <v>44</v>
      </c>
      <c r="B20" t="s">
        <v>28</v>
      </c>
    </row>
    <row r="23" spans="1:4">
      <c r="A23" t="s">
        <v>45</v>
      </c>
    </row>
    <row r="24" spans="1:4">
      <c r="A24" t="s">
        <v>46</v>
      </c>
      <c r="D24">
        <v>47366543</v>
      </c>
    </row>
    <row r="26" spans="1:4">
      <c r="A26" t="s">
        <v>47</v>
      </c>
      <c r="D26">
        <v>90362962</v>
      </c>
    </row>
    <row r="27" spans="1:4">
      <c r="A27" t="s">
        <v>48</v>
      </c>
      <c r="D27">
        <v>91845169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Hjelp</vt:lpstr>
      <vt:lpstr>Grunndata</vt:lpstr>
      <vt:lpstr>Kamprapport mal</vt:lpstr>
      <vt:lpstr>Kvittering mal</vt:lpstr>
      <vt:lpstr>Deltakerliste 6 mal</vt:lpstr>
      <vt:lpstr>Deltakerliste 4 mal</vt:lpstr>
      <vt:lpstr>Dommere</vt:lpstr>
      <vt:lpstr>'Deltakerliste 4 mal'!Print_Area</vt:lpstr>
      <vt:lpstr>'Deltakerliste 6 mal'!Print_Area</vt:lpstr>
      <vt:lpstr>'Kamprapport mal'!Print_Area</vt:lpstr>
      <vt:lpstr>'Kvittering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2017-04-16T16:12:49Z</cp:lastPrinted>
  <dcterms:created xsi:type="dcterms:W3CDTF">2017-02-16T05:22:27Z</dcterms:created>
  <dcterms:modified xsi:type="dcterms:W3CDTF">2017-04-17T08:50:26Z</dcterms:modified>
</cp:coreProperties>
</file>