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k\Documents\PrepTurnering\"/>
    </mc:Choice>
  </mc:AlternateContent>
  <bookViews>
    <workbookView xWindow="0" yWindow="0" windowWidth="28800" windowHeight="12585" tabRatio="908" activeTab="1" xr2:uid="{00000000-000D-0000-FFFF-FFFF00000000}"/>
  </bookViews>
  <sheets>
    <sheet name="Hjelp" sheetId="200" r:id="rId1"/>
    <sheet name="Grunndata" sheetId="1" r:id="rId2"/>
    <sheet name="Sheet1" sheetId="542" r:id="rId3"/>
    <sheet name="Kamprapport mal" sheetId="43" r:id="rId4"/>
    <sheet name="Kvittering mal" sheetId="236" r:id="rId5"/>
    <sheet name="Deltakerliste 6 mal" sheetId="482" r:id="rId6"/>
    <sheet name="Deltakerliste 4 mal" sheetId="541" r:id="rId7"/>
    <sheet name="Dommere" sheetId="199" r:id="rId8"/>
    <sheet name="dommerpar 1" sheetId="767" r:id="rId9"/>
    <sheet name="dommerpar 2" sheetId="768" r:id="rId10"/>
    <sheet name="dommerpar 3" sheetId="769" r:id="rId11"/>
    <sheet name="dommerpar 4" sheetId="770" r:id="rId12"/>
    <sheet name="dommerpar 5" sheetId="771" r:id="rId13"/>
    <sheet name="dommerpar 6" sheetId="772" r:id="rId14"/>
    <sheet name="dommerpar 7" sheetId="773" r:id="rId15"/>
    <sheet name="dommerpar 8" sheetId="774" r:id="rId16"/>
    <sheet name="dommerpar 9" sheetId="775" r:id="rId17"/>
    <sheet name="dommerpar 10" sheetId="776" r:id="rId18"/>
    <sheet name="dommerpar 11" sheetId="777" r:id="rId19"/>
    <sheet name="dommerpar 12" sheetId="778" r:id="rId20"/>
    <sheet name="dommerpar 13" sheetId="779" r:id="rId21"/>
    <sheet name="dommerpar 14" sheetId="780" r:id="rId22"/>
  </sheets>
  <functionGroups builtInGroupCount="18"/>
  <definedNames>
    <definedName name="_xlnm._FilterDatabase" localSheetId="1" hidden="1">Grunndata!$A$5:$J$72</definedName>
    <definedName name="_xlnm.Print_Area" localSheetId="6">'Deltakerliste 4 mal'!$A$1:$J$39</definedName>
    <definedName name="_xlnm.Print_Area" localSheetId="5">'Deltakerliste 6 mal'!$A$1:$J$39</definedName>
    <definedName name="_xlnm.Print_Area" localSheetId="3">'Kamprapport mal'!$A$1:$I$24</definedName>
    <definedName name="_xlnm.Print_Area" localSheetId="4">'Kvittering mal'!$A$1:$I$33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4" i="1"/>
  <c r="G25" i="1"/>
  <c r="G26" i="1"/>
  <c r="G27" i="1"/>
  <c r="G28" i="1"/>
  <c r="G29" i="1"/>
  <c r="G22" i="1"/>
  <c r="G23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51" i="1"/>
  <c r="G52" i="1"/>
  <c r="G48" i="1"/>
  <c r="G49" i="1"/>
  <c r="G50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6" i="1"/>
  <c r="I7" i="1" l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4" i="1"/>
  <c r="I25" i="1"/>
  <c r="I26" i="1"/>
  <c r="I27" i="1"/>
  <c r="I28" i="1"/>
  <c r="I29" i="1"/>
  <c r="I22" i="1"/>
  <c r="I23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51" i="1"/>
  <c r="I52" i="1"/>
  <c r="I48" i="1"/>
  <c r="I49" i="1"/>
  <c r="I50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4" i="1"/>
  <c r="H25" i="1"/>
  <c r="H26" i="1"/>
  <c r="H27" i="1"/>
  <c r="H28" i="1"/>
  <c r="H29" i="1"/>
  <c r="H22" i="1"/>
  <c r="H23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51" i="1"/>
  <c r="H52" i="1"/>
  <c r="H48" i="1"/>
  <c r="H49" i="1"/>
  <c r="H50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6" i="1"/>
  <c r="A3" i="236" l="1"/>
</calcChain>
</file>

<file path=xl/sharedStrings.xml><?xml version="1.0" encoding="utf-8"?>
<sst xmlns="http://schemas.openxmlformats.org/spreadsheetml/2006/main" count="1477" uniqueCount="243">
  <si>
    <t>Tid</t>
  </si>
  <si>
    <t>Turnering</t>
  </si>
  <si>
    <t>Kampnr</t>
  </si>
  <si>
    <t>Bane</t>
  </si>
  <si>
    <t>Hjemmelag</t>
  </si>
  <si>
    <t>Bortelag</t>
  </si>
  <si>
    <t>Dommer 1</t>
  </si>
  <si>
    <t>Dommer 2</t>
  </si>
  <si>
    <t>Klasse</t>
  </si>
  <si>
    <t>Dato</t>
  </si>
  <si>
    <t>Kamplengde (min)</t>
  </si>
  <si>
    <t>KAMPRAPPORT - BARNEHÅNDBALLTURNERINGER</t>
  </si>
  <si>
    <t>Mål H.lag</t>
  </si>
  <si>
    <t>Mål B.lag</t>
  </si>
  <si>
    <t>Sekretariat</t>
  </si>
  <si>
    <t>I målfeltene skal det kun stå sluttresultat</t>
  </si>
  <si>
    <t xml:space="preserve">Hall:   </t>
  </si>
  <si>
    <t xml:space="preserve">Antall baner:   </t>
  </si>
  <si>
    <t>Pause mellom kamper</t>
  </si>
  <si>
    <t>Dato: ______________</t>
  </si>
  <si>
    <t>Hall: ______________________________</t>
  </si>
  <si>
    <t>Bane: _____</t>
  </si>
  <si>
    <t>Klasse: __________</t>
  </si>
  <si>
    <t>Navn</t>
  </si>
  <si>
    <t>Barnedommer</t>
  </si>
  <si>
    <t>Tlf nr</t>
  </si>
  <si>
    <t>E-post</t>
  </si>
  <si>
    <t>Helle Kierulf</t>
  </si>
  <si>
    <t>X</t>
  </si>
  <si>
    <t>Lene Brosvik</t>
  </si>
  <si>
    <t>Hanna Finnskog Nordby</t>
  </si>
  <si>
    <t>Maya Wale Solberg</t>
  </si>
  <si>
    <t>Anna Zabielska</t>
  </si>
  <si>
    <t>Renata Zabielska</t>
  </si>
  <si>
    <t>Darius Zabielska</t>
  </si>
  <si>
    <t>Trine Witzøe</t>
  </si>
  <si>
    <t>Gunn Jenny Wangsmo</t>
  </si>
  <si>
    <t>Margareth Stiansen</t>
  </si>
  <si>
    <t>Celine Kjær Molvig</t>
  </si>
  <si>
    <t>Andrea Varvin</t>
  </si>
  <si>
    <t>Janne Reinertsen</t>
  </si>
  <si>
    <t>Henriette Olafsen Foyn</t>
  </si>
  <si>
    <t>Selma Henriksen</t>
  </si>
  <si>
    <t>Lotte Bettum</t>
  </si>
  <si>
    <t>Vinos Ismail</t>
  </si>
  <si>
    <t>Anne Maren Eilerås</t>
  </si>
  <si>
    <t>Anette Røed</t>
  </si>
  <si>
    <t>Martin</t>
  </si>
  <si>
    <t>Elias (Tjøme)</t>
  </si>
  <si>
    <t>Oversikt over dommere i Flint</t>
  </si>
  <si>
    <t>Dommerpar</t>
  </si>
  <si>
    <t>Betaling dommere:</t>
  </si>
  <si>
    <t>Slagenhallen</t>
  </si>
  <si>
    <t>Begynn med å justere dato, hall etc</t>
  </si>
  <si>
    <r>
      <t>Arket "</t>
    </r>
    <r>
      <rPr>
        <b/>
        <sz val="11"/>
        <color theme="1"/>
        <rFont val="Calibri"/>
        <family val="2"/>
        <scheme val="minor"/>
      </rPr>
      <t>Grunndata</t>
    </r>
    <r>
      <rPr>
        <sz val="11"/>
        <color theme="1"/>
        <rFont val="Calibri"/>
        <family val="2"/>
        <scheme val="minor"/>
      </rPr>
      <t>" er utgangspunktet for alle beregninger.</t>
    </r>
  </si>
  <si>
    <t>Dette er tenkt som et hjelpeverktøy for planlegging av dugnadsvakten i hovedsekretariatet ved en MiniCup</t>
  </si>
  <si>
    <t>Gå til</t>
  </si>
  <si>
    <t>https://www.handball.no/system/banedagbok/</t>
  </si>
  <si>
    <r>
      <t>Velg Fylke, Anlegg og periode. Klick deretter på "</t>
    </r>
    <r>
      <rPr>
        <b/>
        <sz val="11"/>
        <color theme="1"/>
        <rFont val="Calibri"/>
        <family val="2"/>
        <scheme val="minor"/>
      </rPr>
      <t>Vis kamper</t>
    </r>
    <r>
      <rPr>
        <sz val="11"/>
        <color theme="1"/>
        <rFont val="Calibri"/>
        <family val="2"/>
        <scheme val="minor"/>
      </rPr>
      <t>"</t>
    </r>
  </si>
  <si>
    <t>Marker og kopier alle kampene (ikke ta med overskrifter og dato).</t>
  </si>
  <si>
    <t>Eller</t>
  </si>
  <si>
    <t>Oppdater Klasse</t>
  </si>
  <si>
    <t>Legg inn dommere under "Dommerpar"</t>
  </si>
  <si>
    <r>
      <t>Klikk på "</t>
    </r>
    <r>
      <rPr>
        <b/>
        <sz val="11"/>
        <color theme="1"/>
        <rFont val="Calibri"/>
        <family val="2"/>
        <scheme val="minor"/>
      </rPr>
      <t>Splitt dommerpar</t>
    </r>
    <r>
      <rPr>
        <sz val="11"/>
        <color theme="1"/>
        <rFont val="Calibri"/>
        <family val="2"/>
        <scheme val="minor"/>
      </rPr>
      <t>"</t>
    </r>
  </si>
  <si>
    <t>==&gt;</t>
  </si>
  <si>
    <t>April G10 1 - Slagenhallen</t>
  </si>
  <si>
    <t>Slagenhallen 1</t>
  </si>
  <si>
    <t>HG Gokstad</t>
  </si>
  <si>
    <t>Reistad</t>
  </si>
  <si>
    <t>April G10 2 - Slagenhallen</t>
  </si>
  <si>
    <t>Slagenhallen 2</t>
  </si>
  <si>
    <t>HK-72 Sande 2</t>
  </si>
  <si>
    <t>Skrim 2</t>
  </si>
  <si>
    <t>April G9 1 - Slagenhallen</t>
  </si>
  <si>
    <t>Slagenhallen 3</t>
  </si>
  <si>
    <t>Sandefjord TIF</t>
  </si>
  <si>
    <t>Hof</t>
  </si>
  <si>
    <t>Halsen</t>
  </si>
  <si>
    <t>Skrim</t>
  </si>
  <si>
    <t>Bamble</t>
  </si>
  <si>
    <t>Reistad 2</t>
  </si>
  <si>
    <t>Glassverket</t>
  </si>
  <si>
    <t>Skade</t>
  </si>
  <si>
    <t>Flint Tønsberg</t>
  </si>
  <si>
    <t>HK-72 Sande</t>
  </si>
  <si>
    <t>Notodden 2</t>
  </si>
  <si>
    <t>HG Gokstad 2</t>
  </si>
  <si>
    <t>Sandefjord TIF 2</t>
  </si>
  <si>
    <t>Hof 2</t>
  </si>
  <si>
    <t>Notodden</t>
  </si>
  <si>
    <t>Flint Tønsberg 2</t>
  </si>
  <si>
    <t>Glassverket 2</t>
  </si>
  <si>
    <t>Ulefoss</t>
  </si>
  <si>
    <t>April G9 3 - Slagenhallen</t>
  </si>
  <si>
    <t>Runar 2</t>
  </si>
  <si>
    <t>April G9 2 - Slagenhallen</t>
  </si>
  <si>
    <t>Sætre/Graabein 2</t>
  </si>
  <si>
    <t>Urædd</t>
  </si>
  <si>
    <t>Runar</t>
  </si>
  <si>
    <t>April G9 4 - Slagenhallen</t>
  </si>
  <si>
    <t>Falk</t>
  </si>
  <si>
    <t>Lier 2</t>
  </si>
  <si>
    <t>Lier</t>
  </si>
  <si>
    <t>Halsen 2</t>
  </si>
  <si>
    <t>Sætre/Graabein 3</t>
  </si>
  <si>
    <t>Sætre/Graabein</t>
  </si>
  <si>
    <t>Tønsbergs Turn</t>
  </si>
  <si>
    <t>Runar 3</t>
  </si>
  <si>
    <t>Tjølling</t>
  </si>
  <si>
    <t>Slagen</t>
  </si>
  <si>
    <t>23231081001</t>
  </si>
  <si>
    <t>23231082001</t>
  </si>
  <si>
    <t>23230981001</t>
  </si>
  <si>
    <t>23231081002</t>
  </si>
  <si>
    <t>23231082002</t>
  </si>
  <si>
    <t>23230981002</t>
  </si>
  <si>
    <t>23231081003</t>
  </si>
  <si>
    <t>23231082003</t>
  </si>
  <si>
    <t>23230981003</t>
  </si>
  <si>
    <t>23231081004</t>
  </si>
  <si>
    <t>23231082004</t>
  </si>
  <si>
    <t>23230981004</t>
  </si>
  <si>
    <t>23231081005</t>
  </si>
  <si>
    <t>23231082005</t>
  </si>
  <si>
    <t>23230981005</t>
  </si>
  <si>
    <t>23231081006</t>
  </si>
  <si>
    <t>23231082006</t>
  </si>
  <si>
    <t>23230981006</t>
  </si>
  <si>
    <t>23231081007</t>
  </si>
  <si>
    <t>23231082007</t>
  </si>
  <si>
    <t>23230981007</t>
  </si>
  <si>
    <t>23231081008</t>
  </si>
  <si>
    <t>23231082008</t>
  </si>
  <si>
    <t>23230981008</t>
  </si>
  <si>
    <t>23231081009</t>
  </si>
  <si>
    <t>23231082009</t>
  </si>
  <si>
    <t>23230981009</t>
  </si>
  <si>
    <t>23231081010</t>
  </si>
  <si>
    <t>23231082010</t>
  </si>
  <si>
    <t>23230981010</t>
  </si>
  <si>
    <t>23231081011</t>
  </si>
  <si>
    <t>23231082011</t>
  </si>
  <si>
    <t>23230981011</t>
  </si>
  <si>
    <t>23230981012</t>
  </si>
  <si>
    <t>23230983001</t>
  </si>
  <si>
    <t>23230982001</t>
  </si>
  <si>
    <t>23230983002</t>
  </si>
  <si>
    <t>23230984001</t>
  </si>
  <si>
    <t>23230982002</t>
  </si>
  <si>
    <t>23230983003</t>
  </si>
  <si>
    <t>23230984002</t>
  </si>
  <si>
    <t>23230982003</t>
  </si>
  <si>
    <t>23230983004</t>
  </si>
  <si>
    <t>23230984003</t>
  </si>
  <si>
    <t>23230982004</t>
  </si>
  <si>
    <t>23230983005</t>
  </si>
  <si>
    <t>23230984004</t>
  </si>
  <si>
    <t>23230982005</t>
  </si>
  <si>
    <t>23230983006</t>
  </si>
  <si>
    <t>23230984005</t>
  </si>
  <si>
    <t>23230982006</t>
  </si>
  <si>
    <t>23230983007</t>
  </si>
  <si>
    <t>23230984006</t>
  </si>
  <si>
    <t>23230982007</t>
  </si>
  <si>
    <t>23230983008</t>
  </si>
  <si>
    <t>23230984007</t>
  </si>
  <si>
    <t>23230982008</t>
  </si>
  <si>
    <t>23230983009</t>
  </si>
  <si>
    <t>23230984008</t>
  </si>
  <si>
    <t>23230982009</t>
  </si>
  <si>
    <t>23230983010</t>
  </si>
  <si>
    <t>23230984009</t>
  </si>
  <si>
    <t>23230982010</t>
  </si>
  <si>
    <t>23230983011</t>
  </si>
  <si>
    <t>23230984010</t>
  </si>
  <si>
    <t>23230982011</t>
  </si>
  <si>
    <t>23230984011</t>
  </si>
  <si>
    <t>Anette Røed og Anne Maren Eilerås</t>
  </si>
  <si>
    <t>Maya W Solberg og Vinos Ismail</t>
  </si>
  <si>
    <t>Ingeborg Morberg og Vinos Ismail</t>
  </si>
  <si>
    <t>Helle Kierulf og Lene Brosvik</t>
  </si>
  <si>
    <t>Celine Kjær Molvig og Vinos Ismail</t>
  </si>
  <si>
    <t>Ulrik Kjærgaard og Hoanh Vinh</t>
  </si>
  <si>
    <t>Ingeborg Morberg og Maya W Solberg</t>
  </si>
  <si>
    <t>Lotte Bettum og Vinos Ismail</t>
  </si>
  <si>
    <t>Selma Henriksen og Vinos Ismail</t>
  </si>
  <si>
    <t>Henriette O Foyn og Lotte Bettum</t>
  </si>
  <si>
    <t>Selma Henriksen og Henriette O Foyn</t>
  </si>
  <si>
    <t>Lotte Bettum og Selma Henriksen</t>
  </si>
  <si>
    <t>Klubb:</t>
  </si>
  <si>
    <t>Dato:</t>
  </si>
  <si>
    <t>Hall:</t>
  </si>
  <si>
    <t>Antall kamper med en dommer</t>
  </si>
  <si>
    <t>Antall kamper med to dommere</t>
  </si>
  <si>
    <t xml:space="preserve">Total dommerkostnader: </t>
  </si>
  <si>
    <t>kr =</t>
  </si>
  <si>
    <t>Sted</t>
  </si>
  <si>
    <t>Underskrift arrangør</t>
  </si>
  <si>
    <t>a X kr =</t>
  </si>
  <si>
    <t xml:space="preserve">Antall spillere pr lag:   </t>
  </si>
  <si>
    <r>
      <rPr>
        <b/>
        <sz val="14"/>
        <color rgb="FFFF0000"/>
        <rFont val="Times New Roman"/>
        <family val="1"/>
      </rPr>
      <t xml:space="preserve">Skal sendes på mail til 
</t>
    </r>
    <r>
      <rPr>
        <b/>
        <u/>
        <sz val="14"/>
        <color rgb="FFFF0000"/>
        <rFont val="Times New Roman"/>
        <family val="1"/>
      </rPr>
      <t>nhf.rsn@handball.no</t>
    </r>
    <r>
      <rPr>
        <b/>
        <sz val="14"/>
        <color rgb="FFFF0000"/>
        <rFont val="Times New Roman"/>
        <family val="1"/>
      </rPr>
      <t xml:space="preserve">
innen 3 virkedager!</t>
    </r>
    <r>
      <rPr>
        <b/>
        <sz val="14"/>
        <color theme="1"/>
        <rFont val="Times New Roman"/>
        <family val="1"/>
      </rPr>
      <t xml:space="preserve">
Sammen med kamprapportene.</t>
    </r>
    <r>
      <rPr>
        <sz val="11"/>
        <color theme="1"/>
        <rFont val="Calibri"/>
        <family val="2"/>
        <scheme val="minor"/>
      </rPr>
      <t xml:space="preserve">
</t>
    </r>
  </si>
  <si>
    <t>Deltagerliste 6’er-håndball (J/G 10 år)</t>
  </si>
  <si>
    <r>
      <t>à</t>
    </r>
    <r>
      <rPr>
        <sz val="12"/>
        <color rgb="FF000000"/>
        <rFont val="Palatino Linotype"/>
        <family val="1"/>
      </rPr>
      <t xml:space="preserve"> leveres til arrangør før første kamp.</t>
    </r>
  </si>
  <si>
    <t>Lag:</t>
  </si>
  <si>
    <t>Aldersklasse:</t>
  </si>
  <si>
    <t>Trener:</t>
  </si>
  <si>
    <t>Mobil:</t>
  </si>
  <si>
    <t>Mail:</t>
  </si>
  <si>
    <t>Det skal nå kun fylles ut et felles skjema for alle lag i samme årsklasse/kjønn.</t>
  </si>
  <si>
    <t>Nr.</t>
  </si>
  <si>
    <t>Fornavn og etternavn</t>
  </si>
  <si>
    <t>Fødselsår</t>
  </si>
  <si>
    <t>Husk at det kan være maks 12 spillere på hvert lag i 6’er håndball, men det 
oppfordres å ikke ha flere enn 8 for at alle skal få spilletid.
Det er fri spillerflyt mellom lag i samme og tilstøtende klasser i Region Sør.
-Om det er for få linjer over så er det bare å fylle ut videre nedover på neste side.</t>
  </si>
  <si>
    <r>
      <rPr>
        <sz val="7.5"/>
        <color rgb="FF00B0F0"/>
        <rFont val="PalatinoLinotype"/>
      </rPr>
      <t xml:space="preserve">Telefon: +47 32 01 61 22 | Internett: www.handball.no | E-post: nhf.rsn@handball.no | 
Postadresse og besøksadresse: Norges Håndballforbund Region Sør, Idrettens Hus, Schwartsgate 6, 3043 Drammen | 
Bankgiro: 2310 07 46875 | Org.nr: 984 824 025 MVA  </t>
    </r>
    <r>
      <rPr>
        <sz val="12"/>
        <color theme="1"/>
        <rFont val="PalatinoLinotype"/>
      </rPr>
      <t xml:space="preserve">
</t>
    </r>
  </si>
  <si>
    <t xml:space="preserve">    </t>
  </si>
  <si>
    <t>Deltagerliste 4’er-håndball (J/G 6-9 år)</t>
  </si>
  <si>
    <t>Antall lag:</t>
  </si>
  <si>
    <t>Husk at det kan være maks 8 spillere på hvert lag i 4’er håndball, men det anbefales 
ikke mer enn 6 for at alle skal få spilletid.
Det er fri spillerflyt mellom lag i samme og tilstøtende klasser i Region Sør.
-Om det er for få linjer over så er det bare å fylle ut videre nedover på neste side.</t>
  </si>
  <si>
    <t>Sorter grunndata etter bane slik at det er enklere å kopiere inn dommerpar</t>
  </si>
  <si>
    <r>
      <t>Klikk på "</t>
    </r>
    <r>
      <rPr>
        <b/>
        <sz val="11"/>
        <color theme="1"/>
        <rFont val="Calibri"/>
        <family val="2"/>
        <scheme val="minor"/>
      </rPr>
      <t>Generer rapporter</t>
    </r>
    <r>
      <rPr>
        <sz val="11"/>
        <color theme="1"/>
        <rFont val="Calibri"/>
        <family val="2"/>
        <scheme val="minor"/>
      </rPr>
      <t>"</t>
    </r>
  </si>
  <si>
    <t>Det genereres da faner med følgende rapporter:</t>
  </si>
  <si>
    <t>*</t>
  </si>
  <si>
    <t>Kamprapport pr bane og klasse</t>
  </si>
  <si>
    <t>Banedagbok pr bane</t>
  </si>
  <si>
    <t>Oversikt over alle klubber pr klasse med antall lag, antall kamper, antall kamper med 1 dommer, antall kamper med 2 dommere og sum å betale for dommere</t>
  </si>
  <si>
    <t>Kvittering for dommerbetalinger pr klubb og klasse</t>
  </si>
  <si>
    <t>Deltakerliste pr klubb og klasse (med den infoen vi har)</t>
  </si>
  <si>
    <t>Klikker en på "Slett rapporter" slettes fanene automatisk</t>
  </si>
  <si>
    <t xml:space="preserve"> G10</t>
  </si>
  <si>
    <t/>
  </si>
  <si>
    <t xml:space="preserve">Anette Røed </t>
  </si>
  <si>
    <t xml:space="preserve">Celine Kjær Molvig </t>
  </si>
  <si>
    <t xml:space="preserve"> G9 </t>
  </si>
  <si>
    <t xml:space="preserve">Helle Kierulf </t>
  </si>
  <si>
    <t xml:space="preserve">Henriette O Foyn </t>
  </si>
  <si>
    <t xml:space="preserve">Ingeborg Morberg </t>
  </si>
  <si>
    <t>Maya W Solberg</t>
  </si>
  <si>
    <t xml:space="preserve">Lotte Bettum </t>
  </si>
  <si>
    <t xml:space="preserve">Maya W Solberg </t>
  </si>
  <si>
    <t xml:space="preserve">Selma Henriksen </t>
  </si>
  <si>
    <t>Henriette O Foyn</t>
  </si>
  <si>
    <t xml:space="preserve">Ulrik Kjærgaard </t>
  </si>
  <si>
    <t>Hoanh Vinh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</si>
</sst>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Palatino Linotype"/>
      <family val="1"/>
    </font>
    <font>
      <sz val="11"/>
      <color rgb="FF000000"/>
      <name val="Calibri"/>
      <family val="2"/>
    </font>
    <font>
      <b/>
      <sz val="16"/>
      <color theme="1"/>
      <name val="Palatino Linotype"/>
      <family val="1"/>
    </font>
    <font>
      <b/>
      <sz val="12"/>
      <color theme="1"/>
      <name val="Palatino Linotype"/>
      <family val="1"/>
    </font>
    <font>
      <b/>
      <i/>
      <sz val="12"/>
      <color theme="1"/>
      <name val="Palatino Linotype"/>
      <family val="1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4"/>
      <color rgb="FFFF0000"/>
      <name val="Times New Roman"/>
      <family val="1"/>
    </font>
    <font>
      <b/>
      <u/>
      <sz val="14"/>
      <color rgb="FFFF0000"/>
      <name val="Times New Roman"/>
      <family val="1"/>
    </font>
    <font>
      <sz val="11"/>
      <color theme="1"/>
      <name val="Calibri"/>
      <family val="1"/>
      <scheme val="minor"/>
    </font>
    <font>
      <sz val="16"/>
      <color rgb="FF0098DB"/>
      <name val="Palatino Linotype"/>
      <family val="1"/>
    </font>
    <font>
      <sz val="12"/>
      <color rgb="FF000000"/>
      <name val="Palatino Linotype"/>
      <family val="1"/>
    </font>
    <font>
      <sz val="12"/>
      <color rgb="FF000000"/>
      <name val="Wingdings"/>
      <charset val="2"/>
    </font>
    <font>
      <b/>
      <i/>
      <sz val="12"/>
      <color rgb="FF000000"/>
      <name val="Palatino Linotype"/>
      <family val="1"/>
    </font>
    <font>
      <b/>
      <sz val="12"/>
      <color rgb="FF000000"/>
      <name val="Palatino Linotype"/>
      <family val="1"/>
    </font>
    <font>
      <sz val="12"/>
      <color theme="1"/>
      <name val="PalatinoLinotype"/>
    </font>
    <font>
      <sz val="7.5"/>
      <color rgb="FF00B0F0"/>
      <name val="PalatinoLinotype"/>
    </font>
    <font>
      <b/>
      <sz val="14"/>
      <color rgb="FF000000"/>
      <name val="Palatino Linotype"/>
      <family val="1"/>
    </font>
    <font>
      <b/>
      <sz val="14"/>
      <color theme="1"/>
      <name val="Palatino Linotype"/>
      <family val="1"/>
    </font>
    <font>
      <sz val="12"/>
      <color theme="1"/>
      <name val="Palatino Linotype"/>
      <family val="1"/>
    </font>
    <font>
      <b/>
      <i/>
      <sz val="14"/>
      <color rgb="FFFF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26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12" fillId="0" borderId="0"/>
    <xf numFmtId="0" fontId="17" fillId="0" borderId="0" applyNumberFormat="0" applyFill="0" applyBorder="0" applyAlignment="0" applyProtection="0"/>
  </cellStyleXfs>
  <cellXfs count="98">
    <xf numFmtId="0" fontId="0" fillId="0" borderId="0" xfId="0"/>
    <xf numFmtId="0" fontId="0" fillId="0" borderId="0" xfId="0" applyAlignment="1"/>
    <xf numFmtId="0" fontId="1" fillId="2" borderId="3" xfId="0" applyFont="1" applyFill="1" applyBorder="1" applyAlignment="1">
      <alignment horizontal="left" vertical="center"/>
    </xf>
    <xf numFmtId="20" fontId="2" fillId="0" borderId="1" xfId="0" applyNumberFormat="1" applyFont="1" applyFill="1" applyBorder="1" applyAlignment="1">
      <alignment horizontal="left" vertical="center"/>
    </xf>
    <xf numFmtId="0" fontId="3" fillId="0" borderId="0" xfId="0" applyFont="1" applyAlignment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horizontal="left"/>
    </xf>
    <xf numFmtId="0" fontId="8" fillId="0" borderId="4" xfId="0" applyFont="1" applyBorder="1" applyAlignment="1">
      <alignment horizontal="center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 wrapText="1"/>
    </xf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 wrapText="1"/>
    </xf>
    <xf numFmtId="0" fontId="10" fillId="0" borderId="20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8" fillId="0" borderId="0" xfId="0" applyFont="1" applyFill="1" applyAlignment="1"/>
    <xf numFmtId="0" fontId="3" fillId="0" borderId="0" xfId="0" applyFont="1" applyAlignment="1">
      <alignment horizontal="right"/>
    </xf>
    <xf numFmtId="49" fontId="4" fillId="0" borderId="0" xfId="0" applyNumberFormat="1" applyFont="1" applyAlignment="1"/>
    <xf numFmtId="49" fontId="0" fillId="0" borderId="0" xfId="0" applyNumberFormat="1" applyAlignment="1"/>
    <xf numFmtId="49" fontId="1" fillId="2" borderId="3" xfId="0" applyNumberFormat="1" applyFont="1" applyFill="1" applyBorder="1" applyAlignment="1">
      <alignment horizontal="left" vertical="center"/>
    </xf>
    <xf numFmtId="49" fontId="0" fillId="0" borderId="0" xfId="0" applyNumberFormat="1"/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20" fontId="14" fillId="0" borderId="0" xfId="0" applyNumberFormat="1" applyFont="1" applyAlignment="1">
      <alignment horizontal="left"/>
    </xf>
    <xf numFmtId="0" fontId="14" fillId="0" borderId="0" xfId="0" applyFont="1" applyAlignment="1">
      <alignment horizontal="left"/>
    </xf>
    <xf numFmtId="14" fontId="4" fillId="3" borderId="0" xfId="0" applyNumberFormat="1" applyFont="1" applyFill="1" applyAlignment="1"/>
    <xf numFmtId="0" fontId="3" fillId="3" borderId="0" xfId="0" applyFont="1" applyFill="1" applyAlignment="1"/>
    <xf numFmtId="0" fontId="3" fillId="3" borderId="0" xfId="0" applyFont="1" applyFill="1" applyAlignment="1">
      <alignment horizontal="left"/>
    </xf>
    <xf numFmtId="0" fontId="16" fillId="0" borderId="0" xfId="0" applyFont="1"/>
    <xf numFmtId="0" fontId="17" fillId="0" borderId="0" xfId="2"/>
    <xf numFmtId="0" fontId="0" fillId="0" borderId="0" xfId="0" applyFont="1"/>
    <xf numFmtId="0" fontId="15" fillId="0" borderId="0" xfId="0" applyFont="1"/>
    <xf numFmtId="0" fontId="13" fillId="0" borderId="0" xfId="1" applyFont="1" applyAlignment="1" applyProtection="1">
      <alignment vertical="top" wrapText="1" readingOrder="1"/>
      <protection locked="0"/>
    </xf>
    <xf numFmtId="0" fontId="0" fillId="0" borderId="0" xfId="0" quotePrefix="1"/>
    <xf numFmtId="20" fontId="14" fillId="0" borderId="1" xfId="0" applyNumberFormat="1" applyFont="1" applyBorder="1" applyAlignment="1">
      <alignment horizontal="left"/>
    </xf>
    <xf numFmtId="20" fontId="2" fillId="0" borderId="0" xfId="0" applyNumberFormat="1" applyFont="1" applyFill="1" applyBorder="1" applyAlignment="1">
      <alignment horizontal="left" vertical="center"/>
    </xf>
    <xf numFmtId="0" fontId="13" fillId="0" borderId="0" xfId="1" applyFont="1" applyAlignment="1" applyProtection="1">
      <alignment vertical="top" wrapText="1" readingOrder="1"/>
      <protection locked="0"/>
    </xf>
    <xf numFmtId="0" fontId="18" fillId="0" borderId="0" xfId="0" applyFont="1" applyAlignment="1">
      <alignment horizontal="center" vertical="center" wrapText="1"/>
    </xf>
    <xf numFmtId="0" fontId="20" fillId="0" borderId="0" xfId="0" applyFont="1"/>
    <xf numFmtId="0" fontId="0" fillId="0" borderId="24" xfId="0" applyBorder="1"/>
    <xf numFmtId="0" fontId="20" fillId="0" borderId="0" xfId="0" applyFont="1" applyAlignment="1">
      <alignment horizontal="right"/>
    </xf>
    <xf numFmtId="0" fontId="21" fillId="0" borderId="0" xfId="0" applyFont="1" applyBorder="1" applyAlignment="1">
      <alignment horizontal="left"/>
    </xf>
    <xf numFmtId="0" fontId="0" fillId="0" borderId="0" xfId="0" applyBorder="1"/>
    <xf numFmtId="0" fontId="20" fillId="0" borderId="24" xfId="0" applyFont="1" applyBorder="1" applyAlignment="1">
      <alignment horizontal="right"/>
    </xf>
    <xf numFmtId="0" fontId="20" fillId="0" borderId="24" xfId="0" applyFont="1" applyBorder="1" applyAlignment="1">
      <alignment horizontal="center"/>
    </xf>
    <xf numFmtId="0" fontId="28" fillId="0" borderId="0" xfId="0" applyFont="1"/>
    <xf numFmtId="0" fontId="20" fillId="0" borderId="24" xfId="0" applyFont="1" applyBorder="1" applyAlignment="1">
      <alignment horizontal="left"/>
    </xf>
    <xf numFmtId="0" fontId="20" fillId="0" borderId="0" xfId="0" applyFont="1" applyBorder="1"/>
    <xf numFmtId="0" fontId="20" fillId="0" borderId="0" xfId="0" applyFont="1" applyBorder="1" applyAlignment="1">
      <alignment horizontal="left"/>
    </xf>
    <xf numFmtId="0" fontId="20" fillId="0" borderId="0" xfId="0" applyFont="1" applyBorder="1" applyAlignment="1">
      <alignment horizontal="center"/>
    </xf>
    <xf numFmtId="0" fontId="20" fillId="0" borderId="0" xfId="0" applyFont="1" applyBorder="1" applyAlignment="1">
      <alignment horizontal="right"/>
    </xf>
    <xf numFmtId="0" fontId="21" fillId="0" borderId="0" xfId="0" applyFont="1" applyBorder="1" applyAlignment="1">
      <alignment horizontal="left" vertical="center"/>
    </xf>
    <xf numFmtId="0" fontId="29" fillId="0" borderId="0" xfId="0" applyFont="1" applyBorder="1" applyAlignment="1">
      <alignment horizontal="left" vertical="top"/>
    </xf>
    <xf numFmtId="0" fontId="30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32" fillId="0" borderId="3" xfId="0" applyFont="1" applyBorder="1"/>
    <xf numFmtId="0" fontId="33" fillId="0" borderId="0" xfId="0" applyFont="1" applyAlignment="1">
      <alignment horizontal="left" vertical="top" wrapText="1"/>
    </xf>
    <xf numFmtId="0" fontId="23" fillId="0" borderId="0" xfId="0" applyFont="1" applyAlignment="1">
      <alignment horizontal="center"/>
    </xf>
    <xf numFmtId="0" fontId="29" fillId="0" borderId="24" xfId="0" applyFont="1" applyBorder="1" applyAlignment="1">
      <alignment horizontal="left" vertical="center"/>
    </xf>
    <xf numFmtId="0" fontId="36" fillId="0" borderId="24" xfId="0" applyFont="1" applyBorder="1" applyAlignment="1">
      <alignment horizontal="center" vertical="center"/>
    </xf>
    <xf numFmtId="0" fontId="29" fillId="0" borderId="24" xfId="0" applyFont="1" applyBorder="1" applyAlignment="1">
      <alignment horizontal="right" vertical="center"/>
    </xf>
    <xf numFmtId="0" fontId="37" fillId="0" borderId="24" xfId="0" applyFont="1" applyBorder="1" applyAlignment="1">
      <alignment horizontal="left" vertical="center"/>
    </xf>
    <xf numFmtId="0" fontId="37" fillId="0" borderId="24" xfId="0" applyFont="1" applyBorder="1" applyAlignment="1">
      <alignment horizontal="center" vertical="center"/>
    </xf>
    <xf numFmtId="20" fontId="14" fillId="0" borderId="0" xfId="0" applyNumberFormat="1" applyFont="1" applyBorder="1" applyAlignment="1">
      <alignment horizontal="left"/>
    </xf>
    <xf numFmtId="0" fontId="13" fillId="0" borderId="0" xfId="1" applyFont="1" applyAlignment="1" applyProtection="1">
      <alignment vertical="top" readingOrder="1"/>
      <protection locked="0"/>
    </xf>
    <xf numFmtId="20" fontId="2" fillId="0" borderId="2" xfId="0" applyNumberFormat="1" applyFont="1" applyFill="1" applyBorder="1" applyAlignment="1">
      <alignment horizontal="left" vertical="center"/>
    </xf>
    <xf numFmtId="0" fontId="5" fillId="0" borderId="0" xfId="0" applyFont="1" applyAlignment="1">
      <alignment horizontal="center"/>
    </xf>
    <xf numFmtId="0" fontId="11" fillId="0" borderId="0" xfId="0" applyFont="1" applyFill="1" applyAlignment="1">
      <alignment horizontal="center"/>
    </xf>
    <xf numFmtId="0" fontId="21" fillId="0" borderId="25" xfId="0" applyFont="1" applyBorder="1" applyAlignment="1">
      <alignment horizontal="center" vertical="top"/>
    </xf>
    <xf numFmtId="0" fontId="21" fillId="0" borderId="25" xfId="0" applyFont="1" applyBorder="1" applyAlignment="1">
      <alignment horizontal="left" vertical="center"/>
    </xf>
    <xf numFmtId="0" fontId="18" fillId="0" borderId="0" xfId="0" applyFont="1" applyAlignment="1">
      <alignment horizontal="center" vertical="center" wrapText="1"/>
    </xf>
    <xf numFmtId="0" fontId="20" fillId="0" borderId="24" xfId="0" applyFont="1" applyBorder="1" applyAlignment="1">
      <alignment horizontal="left"/>
    </xf>
    <xf numFmtId="0" fontId="22" fillId="0" borderId="0" xfId="0" applyFont="1" applyBorder="1" applyAlignment="1">
      <alignment horizontal="center" vertical="top"/>
    </xf>
    <xf numFmtId="0" fontId="21" fillId="0" borderId="25" xfId="0" applyFont="1" applyBorder="1" applyAlignment="1">
      <alignment horizontal="left"/>
    </xf>
    <xf numFmtId="0" fontId="22" fillId="0" borderId="0" xfId="0" applyFont="1" applyBorder="1" applyAlignment="1">
      <alignment horizontal="center"/>
    </xf>
    <xf numFmtId="0" fontId="33" fillId="0" borderId="0" xfId="0" applyFont="1" applyAlignment="1">
      <alignment horizontal="left" vertical="top" wrapText="1"/>
    </xf>
    <xf numFmtId="0" fontId="32" fillId="0" borderId="3" xfId="0" applyFont="1" applyBorder="1" applyAlignment="1">
      <alignment horizontal="left"/>
    </xf>
    <xf numFmtId="0" fontId="33" fillId="0" borderId="25" xfId="0" applyFont="1" applyBorder="1" applyAlignment="1">
      <alignment horizontal="left" vertical="top" wrapText="1"/>
    </xf>
    <xf numFmtId="0" fontId="27" fillId="0" borderId="0" xfId="0" applyFont="1" applyAlignment="1">
      <alignment horizontal="left" vertical="top" wrapText="1"/>
    </xf>
    <xf numFmtId="0" fontId="35" fillId="0" borderId="24" xfId="0" applyFont="1" applyBorder="1" applyAlignment="1">
      <alignment horizontal="left" vertical="center"/>
    </xf>
    <xf numFmtId="0" fontId="36" fillId="0" borderId="24" xfId="0" applyFont="1" applyBorder="1" applyAlignment="1">
      <alignment horizontal="left" vertical="center"/>
    </xf>
    <xf numFmtId="0" fontId="29" fillId="0" borderId="24" xfId="0" applyFont="1" applyBorder="1" applyAlignment="1">
      <alignment horizontal="left" vertical="center"/>
    </xf>
  </cellXfs>
  <cellStyles count="3">
    <cellStyle name="Hyperkobling" xfId="2" builtinId="8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3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3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14</xdr:col>
      <xdr:colOff>560971</xdr:colOff>
      <xdr:row>47</xdr:row>
      <xdr:rowOff>151619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933700"/>
          <a:ext cx="8028571" cy="62476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18</xdr:col>
      <xdr:colOff>65428</xdr:colOff>
      <xdr:row>70</xdr:row>
      <xdr:rowOff>151929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9791700"/>
          <a:ext cx="9971428" cy="3771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74</xdr:row>
      <xdr:rowOff>0</xdr:rowOff>
    </xdr:from>
    <xdr:to>
      <xdr:col>10</xdr:col>
      <xdr:colOff>342229</xdr:colOff>
      <xdr:row>86</xdr:row>
      <xdr:rowOff>66381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14173200"/>
          <a:ext cx="5371429" cy="2352381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74</xdr:row>
      <xdr:rowOff>0</xdr:rowOff>
    </xdr:from>
    <xdr:to>
      <xdr:col>18</xdr:col>
      <xdr:colOff>170971</xdr:colOff>
      <xdr:row>92</xdr:row>
      <xdr:rowOff>66238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15200" y="14173200"/>
          <a:ext cx="3828571" cy="3495238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96</xdr:row>
      <xdr:rowOff>9525</xdr:rowOff>
    </xdr:from>
    <xdr:to>
      <xdr:col>11</xdr:col>
      <xdr:colOff>304070</xdr:colOff>
      <xdr:row>104</xdr:row>
      <xdr:rowOff>133144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14375" y="18373725"/>
          <a:ext cx="5838095" cy="1647619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96</xdr:row>
      <xdr:rowOff>0</xdr:rowOff>
    </xdr:from>
    <xdr:to>
      <xdr:col>14</xdr:col>
      <xdr:colOff>380800</xdr:colOff>
      <xdr:row>107</xdr:row>
      <xdr:rowOff>142595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315200" y="18364200"/>
          <a:ext cx="1600000" cy="22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118</xdr:row>
      <xdr:rowOff>104775</xdr:rowOff>
    </xdr:from>
    <xdr:to>
      <xdr:col>14</xdr:col>
      <xdr:colOff>27643</xdr:colOff>
      <xdr:row>127</xdr:row>
      <xdr:rowOff>180751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47700" y="21326475"/>
          <a:ext cx="7457143" cy="17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130</xdr:row>
      <xdr:rowOff>104775</xdr:rowOff>
    </xdr:from>
    <xdr:to>
      <xdr:col>14</xdr:col>
      <xdr:colOff>246690</xdr:colOff>
      <xdr:row>140</xdr:row>
      <xdr:rowOff>114061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47700" y="23612475"/>
          <a:ext cx="7676190" cy="191428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166</xdr:row>
      <xdr:rowOff>0</xdr:rowOff>
    </xdr:from>
    <xdr:to>
      <xdr:col>22</xdr:col>
      <xdr:colOff>7981</xdr:colOff>
      <xdr:row>167</xdr:row>
      <xdr:rowOff>171405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9600" y="28841700"/>
          <a:ext cx="12352381" cy="361905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7</xdr:row>
      <xdr:rowOff>28575</xdr:rowOff>
    </xdr:from>
    <xdr:to>
      <xdr:col>18</xdr:col>
      <xdr:colOff>522573</xdr:colOff>
      <xdr:row>11</xdr:row>
      <xdr:rowOff>142765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19125" y="1438275"/>
          <a:ext cx="10419048" cy="87619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111</xdr:row>
      <xdr:rowOff>0</xdr:rowOff>
    </xdr:from>
    <xdr:to>
      <xdr:col>12</xdr:col>
      <xdr:colOff>408743</xdr:colOff>
      <xdr:row>115</xdr:row>
      <xdr:rowOff>28476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9600" y="21221700"/>
          <a:ext cx="6657143" cy="7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144</xdr:row>
      <xdr:rowOff>0</xdr:rowOff>
    </xdr:from>
    <xdr:to>
      <xdr:col>14</xdr:col>
      <xdr:colOff>75257</xdr:colOff>
      <xdr:row>153</xdr:row>
      <xdr:rowOff>123595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09600" y="27508200"/>
          <a:ext cx="7542857" cy="18380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1419226</xdr:colOff>
          <xdr:row>0</xdr:row>
          <xdr:rowOff>123825</xdr:rowOff>
        </xdr:from>
        <xdr:to>
          <xdr:col>10</xdr:col>
          <xdr:colOff>1</xdr:colOff>
          <xdr:row>1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Dommer rapporter (BETA)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1409700</xdr:colOff>
          <xdr:row>2</xdr:row>
          <xdr:rowOff>28575</xdr:rowOff>
        </xdr:from>
        <xdr:to>
          <xdr:col>10</xdr:col>
          <xdr:colOff>19050</xdr:colOff>
          <xdr:row>3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b-NO" sz="1400" b="1" i="1" u="none" strike="noStrike" baseline="0">
                  <a:solidFill>
                    <a:srgbClr val="FF0000"/>
                  </a:solidFill>
                  <a:latin typeface="Calibri"/>
                </a:rPr>
                <a:t>Slett 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38100</xdr:rowOff>
        </xdr:from>
        <xdr:to>
          <xdr:col>6</xdr:col>
          <xdr:colOff>1047750</xdr:colOff>
          <xdr:row>3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Oppdater klasse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2</xdr:row>
          <xdr:rowOff>38100</xdr:rowOff>
        </xdr:from>
        <xdr:to>
          <xdr:col>7</xdr:col>
          <xdr:colOff>1990725</xdr:colOff>
          <xdr:row>3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Splitt dommerpar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0</xdr:row>
          <xdr:rowOff>95250</xdr:rowOff>
        </xdr:from>
        <xdr:to>
          <xdr:col>7</xdr:col>
          <xdr:colOff>2000250</xdr:colOff>
          <xdr:row>1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Sorter liste etter bane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0</xdr:row>
          <xdr:rowOff>76200</xdr:rowOff>
        </xdr:from>
        <xdr:to>
          <xdr:col>8</xdr:col>
          <xdr:colOff>1438275</xdr:colOff>
          <xdr:row>1</xdr:row>
          <xdr:rowOff>123825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Banedagbok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</xdr:row>
          <xdr:rowOff>0</xdr:rowOff>
        </xdr:from>
        <xdr:to>
          <xdr:col>8</xdr:col>
          <xdr:colOff>1438275</xdr:colOff>
          <xdr:row>3</xdr:row>
          <xdr:rowOff>57150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Kamprapporter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1523999</xdr:colOff>
          <xdr:row>0</xdr:row>
          <xdr:rowOff>76200</xdr:rowOff>
        </xdr:from>
        <xdr:to>
          <xdr:col>9</xdr:col>
          <xdr:colOff>1143000</xdr:colOff>
          <xdr:row>1</xdr:row>
          <xdr:rowOff>123825</xdr:rowOff>
        </xdr:to>
        <xdr:sp macro="" textlink="">
          <xdr:nvSpPr>
            <xdr:cNvPr id="2058" name="Button 7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8DBC7176-32D1-43C2-AAD0-202C8A2FBD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Betaling/dommerregning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1581151</xdr:colOff>
          <xdr:row>2</xdr:row>
          <xdr:rowOff>0</xdr:rowOff>
        </xdr:from>
        <xdr:to>
          <xdr:col>9</xdr:col>
          <xdr:colOff>1152525</xdr:colOff>
          <xdr:row>3</xdr:row>
          <xdr:rowOff>57150</xdr:rowOff>
        </xdr:to>
        <xdr:sp macro="" textlink="">
          <xdr:nvSpPr>
            <xdr:cNvPr id="2059" name="Knapp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B68DD13C-2601-484A-99A9-1992A5A381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</a:rPr>
                <a:t>Deltakerlister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3</xdr:col>
      <xdr:colOff>48975</xdr:colOff>
      <xdr:row>0</xdr:row>
      <xdr:rowOff>761974</xdr:rowOff>
    </xdr:to>
    <xdr:pic>
      <xdr:nvPicPr>
        <xdr:cNvPr id="7" name="Picture 6" descr="NHF-logo_RegionSor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001600" cy="761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3</xdr:col>
      <xdr:colOff>48975</xdr:colOff>
      <xdr:row>0</xdr:row>
      <xdr:rowOff>761974</xdr:rowOff>
    </xdr:to>
    <xdr:pic>
      <xdr:nvPicPr>
        <xdr:cNvPr id="2" name="Picture 1" descr="NHF-logo_RegionSor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154000" cy="761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361950</xdr:colOff>
      <xdr:row>38</xdr:row>
      <xdr:rowOff>0</xdr:rowOff>
    </xdr:from>
    <xdr:to>
      <xdr:col>15</xdr:col>
      <xdr:colOff>219075</xdr:colOff>
      <xdr:row>38</xdr:row>
      <xdr:rowOff>361950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1925" y="8286750"/>
          <a:ext cx="5762625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3</xdr:col>
      <xdr:colOff>48975</xdr:colOff>
      <xdr:row>0</xdr:row>
      <xdr:rowOff>761974</xdr:rowOff>
    </xdr:to>
    <xdr:pic>
      <xdr:nvPicPr>
        <xdr:cNvPr id="2" name="Picture 1" descr="NHF-logo_RegionSor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154000" cy="761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361950</xdr:colOff>
      <xdr:row>38</xdr:row>
      <xdr:rowOff>0</xdr:rowOff>
    </xdr:from>
    <xdr:to>
      <xdr:col>15</xdr:col>
      <xdr:colOff>219075</xdr:colOff>
      <xdr:row>38</xdr:row>
      <xdr:rowOff>361950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1925" y="9391650"/>
          <a:ext cx="5762625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handball.no/system/banedagbok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3:L171"/>
  <sheetViews>
    <sheetView workbookViewId="0">
      <selection activeCell="D14" sqref="D14"/>
    </sheetView>
  </sheetViews>
  <sheetFormatPr baseColWidth="10" defaultColWidth="9.140625" defaultRowHeight="15"/>
  <cols>
    <col min="2" max="2" width="2.28515625" customWidth="1"/>
  </cols>
  <sheetData>
    <row r="3" spans="2:4" ht="21">
      <c r="B3" s="44" t="s">
        <v>55</v>
      </c>
    </row>
    <row r="5" spans="2:4">
      <c r="B5" t="s">
        <v>54</v>
      </c>
    </row>
    <row r="7" spans="2:4">
      <c r="B7" t="s">
        <v>53</v>
      </c>
    </row>
    <row r="14" spans="2:4">
      <c r="C14" t="s">
        <v>56</v>
      </c>
      <c r="D14" s="45" t="s">
        <v>57</v>
      </c>
    </row>
    <row r="50" spans="2:2">
      <c r="B50" t="s">
        <v>58</v>
      </c>
    </row>
    <row r="73" spans="2:12">
      <c r="B73" t="s">
        <v>59</v>
      </c>
    </row>
    <row r="75" spans="2:12">
      <c r="L75" t="s">
        <v>60</v>
      </c>
    </row>
    <row r="95" spans="2:2">
      <c r="B95" s="47" t="s">
        <v>61</v>
      </c>
    </row>
    <row r="99" spans="2:12">
      <c r="L99" s="49" t="s">
        <v>64</v>
      </c>
    </row>
    <row r="110" spans="2:12">
      <c r="B110" s="47" t="s">
        <v>218</v>
      </c>
    </row>
    <row r="118" spans="2:2">
      <c r="B118" s="47" t="s">
        <v>62</v>
      </c>
    </row>
    <row r="130" spans="2:2">
      <c r="B130" s="46" t="s">
        <v>63</v>
      </c>
    </row>
    <row r="143" spans="2:2">
      <c r="B143" t="s">
        <v>219</v>
      </c>
    </row>
    <row r="157" spans="2:3">
      <c r="B157" s="47" t="s">
        <v>220</v>
      </c>
    </row>
    <row r="158" spans="2:3">
      <c r="B158" t="s">
        <v>221</v>
      </c>
      <c r="C158" t="s">
        <v>223</v>
      </c>
    </row>
    <row r="159" spans="2:3">
      <c r="B159" t="s">
        <v>221</v>
      </c>
      <c r="C159" t="s">
        <v>222</v>
      </c>
    </row>
    <row r="160" spans="2:3">
      <c r="B160" t="s">
        <v>221</v>
      </c>
      <c r="C160" t="s">
        <v>224</v>
      </c>
    </row>
    <row r="161" spans="2:3">
      <c r="B161" t="s">
        <v>221</v>
      </c>
      <c r="C161" t="s">
        <v>225</v>
      </c>
    </row>
    <row r="162" spans="2:3">
      <c r="B162" t="s">
        <v>221</v>
      </c>
      <c r="C162" t="s">
        <v>226</v>
      </c>
    </row>
    <row r="171" spans="2:3">
      <c r="B171" t="s">
        <v>227</v>
      </c>
    </row>
  </sheetData>
  <hyperlinks>
    <hyperlink ref="D14" r:id="rId1" xr:uid="{00000000-0004-0000-0000-000000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00"/>
  <sheetViews>
    <sheetView tabSelected="1" workbookViewId="0">
      <selection activeCell="J4" sqref="J4"/>
    </sheetView>
  </sheetViews>
  <sheetFormatPr baseColWidth="10" defaultColWidth="9.140625" defaultRowHeight="15"/>
  <cols>
    <col min="1" max="1" width="23.7109375" style="1" customWidth="1"/>
    <col min="2" max="2" width="30.85546875" style="1" customWidth="1"/>
    <col min="3" max="3" width="12.7109375" style="34" customWidth="1"/>
    <col min="4" max="4" width="22.5703125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0" width="52.7109375" style="1" customWidth="1"/>
    <col min="11" max="16384" width="9.140625" style="1"/>
  </cols>
  <sheetData>
    <row r="1" spans="1:10" ht="15.75">
      <c r="A1" s="4" t="s">
        <v>9</v>
      </c>
      <c r="B1" s="41">
        <v>42827</v>
      </c>
      <c r="C1" s="33"/>
      <c r="D1" s="32" t="s">
        <v>16</v>
      </c>
      <c r="E1" s="42" t="s">
        <v>52</v>
      </c>
      <c r="F1" s="32" t="s">
        <v>199</v>
      </c>
      <c r="G1" s="43">
        <v>6</v>
      </c>
    </row>
    <row r="2" spans="1:10">
      <c r="A2" s="4" t="s">
        <v>10</v>
      </c>
      <c r="B2" s="42">
        <v>20</v>
      </c>
      <c r="D2" s="32" t="s">
        <v>17</v>
      </c>
      <c r="E2" s="43">
        <v>3</v>
      </c>
    </row>
    <row r="3" spans="1:10">
      <c r="A3" s="4" t="s">
        <v>18</v>
      </c>
      <c r="B3" s="42">
        <v>5</v>
      </c>
      <c r="D3" s="4" t="s">
        <v>51</v>
      </c>
      <c r="E3" s="43">
        <v>80</v>
      </c>
    </row>
    <row r="4" spans="1:10">
      <c r="C4" s="1"/>
    </row>
    <row r="5" spans="1:10" ht="15.75">
      <c r="A5" s="2" t="s">
        <v>0</v>
      </c>
      <c r="B5" s="2" t="s">
        <v>1</v>
      </c>
      <c r="C5" s="35" t="s">
        <v>2</v>
      </c>
      <c r="D5" s="2" t="s">
        <v>3</v>
      </c>
      <c r="E5" s="2" t="s">
        <v>4</v>
      </c>
      <c r="F5" s="2" t="s">
        <v>5</v>
      </c>
      <c r="G5" s="2" t="s">
        <v>8</v>
      </c>
      <c r="H5" s="2" t="s">
        <v>6</v>
      </c>
      <c r="I5" s="2" t="s">
        <v>7</v>
      </c>
      <c r="J5" s="2" t="s">
        <v>50</v>
      </c>
    </row>
    <row r="6" spans="1:10">
      <c r="A6" s="3">
        <v>0.375</v>
      </c>
      <c r="B6" t="s">
        <v>65</v>
      </c>
      <c r="C6" s="36" t="s">
        <v>110</v>
      </c>
      <c r="D6" t="s">
        <v>66</v>
      </c>
      <c r="E6" t="s">
        <v>67</v>
      </c>
      <c r="F6" t="s">
        <v>68</v>
      </c>
      <c r="G6" t="str">
        <f>MID(B6,FIND(" ",B6,1),4)</f>
        <v xml:space="preserve"> G10</v>
      </c>
      <c r="H6" s="1" t="str">
        <f>IFERROR(LEFT(J6,FIND(" og ",J6,1)),J6)</f>
        <v>Anette Røed</v>
      </c>
      <c r="I6" s="1" t="str">
        <f>IFERROR(RIGHT(J6,LEN(J6) - FIND(" og ",J6,1) - 3),"")</f>
        <v/>
      </c>
      <c r="J6" s="80" t="s">
        <v>46</v>
      </c>
    </row>
    <row r="7" spans="1:10">
      <c r="A7" s="3">
        <v>0.3923611111111111</v>
      </c>
      <c r="B7" t="s">
        <v>65</v>
      </c>
      <c r="C7" s="36" t="s">
        <v>113</v>
      </c>
      <c r="D7" t="s">
        <v>66</v>
      </c>
      <c r="E7" t="s">
        <v>77</v>
      </c>
      <c r="F7" t="s">
        <v>78</v>
      </c>
      <c r="G7" t="str">
        <f>MID(B7,FIND(" ",B7,1),4)</f>
        <v xml:space="preserve"> G10</v>
      </c>
      <c r="H7" s="1" t="str">
        <f>IFERROR(LEFT(J7,FIND(" og ",J7,1)),J7)</f>
        <v xml:space="preserve">Anette Røed </v>
      </c>
      <c r="I7" s="1" t="str">
        <f>IFERROR(RIGHT(J7,LEN(J7) - FIND(" og ",J7,1) - 3),"")</f>
        <v>Anne Maren Eilerås</v>
      </c>
      <c r="J7" s="80" t="s">
        <v>177</v>
      </c>
    </row>
    <row r="8" spans="1:10">
      <c r="A8" s="3">
        <v>0.40972222222222227</v>
      </c>
      <c r="B8" t="s">
        <v>65</v>
      </c>
      <c r="C8" s="36" t="s">
        <v>116</v>
      </c>
      <c r="D8" t="s">
        <v>66</v>
      </c>
      <c r="E8" t="s">
        <v>83</v>
      </c>
      <c r="F8" t="s">
        <v>84</v>
      </c>
      <c r="G8" t="str">
        <f>MID(B8,FIND(" ",B8,1),4)</f>
        <v xml:space="preserve"> G10</v>
      </c>
      <c r="H8" s="1" t="str">
        <f>IFERROR(LEFT(J8,FIND(" og ",J8,1)),J8)</f>
        <v xml:space="preserve">Anette Røed </v>
      </c>
      <c r="I8" s="1" t="str">
        <f>IFERROR(RIGHT(J8,LEN(J8) - FIND(" og ",J8,1) - 3),"")</f>
        <v>Anne Maren Eilerås</v>
      </c>
      <c r="J8" s="80" t="s">
        <v>177</v>
      </c>
    </row>
    <row r="9" spans="1:10">
      <c r="A9" s="3">
        <v>0.42708333333333331</v>
      </c>
      <c r="B9" t="s">
        <v>65</v>
      </c>
      <c r="C9" s="36" t="s">
        <v>119</v>
      </c>
      <c r="D9" t="s">
        <v>66</v>
      </c>
      <c r="E9" t="s">
        <v>89</v>
      </c>
      <c r="F9" t="s">
        <v>77</v>
      </c>
      <c r="G9" t="str">
        <f>MID(B9,FIND(" ",B9,1),4)</f>
        <v xml:space="preserve"> G10</v>
      </c>
      <c r="H9" s="1" t="str">
        <f>IFERROR(LEFT(J9,FIND(" og ",J9,1)),J9)</f>
        <v xml:space="preserve">Anette Røed </v>
      </c>
      <c r="I9" s="1" t="str">
        <f>IFERROR(RIGHT(J9,LEN(J9) - FIND(" og ",J9,1) - 3),"")</f>
        <v>Anne Maren Eilerås</v>
      </c>
      <c r="J9" s="80" t="s">
        <v>177</v>
      </c>
    </row>
    <row r="10" spans="1:10">
      <c r="A10" s="3">
        <v>0.44444444444444442</v>
      </c>
      <c r="B10" t="s">
        <v>65</v>
      </c>
      <c r="C10" s="36" t="s">
        <v>122</v>
      </c>
      <c r="D10" t="s">
        <v>66</v>
      </c>
      <c r="E10" t="s">
        <v>68</v>
      </c>
      <c r="F10" t="s">
        <v>83</v>
      </c>
      <c r="G10" t="str">
        <f>MID(B10,FIND(" ",B10,1),4)</f>
        <v xml:space="preserve"> G10</v>
      </c>
      <c r="H10" s="1" t="str">
        <f>IFERROR(LEFT(J10,FIND(" og ",J10,1)),J10)</f>
        <v xml:space="preserve">Anette Røed </v>
      </c>
      <c r="I10" s="1" t="str">
        <f>IFERROR(RIGHT(J10,LEN(J10) - FIND(" og ",J10,1) - 3),"")</f>
        <v>Anne Maren Eilerås</v>
      </c>
      <c r="J10" s="80" t="s">
        <v>177</v>
      </c>
    </row>
    <row r="11" spans="1:10">
      <c r="A11" s="3">
        <v>0.46180555555555558</v>
      </c>
      <c r="B11" t="s">
        <v>65</v>
      </c>
      <c r="C11" s="36" t="s">
        <v>125</v>
      </c>
      <c r="D11" t="s">
        <v>66</v>
      </c>
      <c r="E11" t="s">
        <v>78</v>
      </c>
      <c r="F11" t="s">
        <v>67</v>
      </c>
      <c r="G11" t="str">
        <f>MID(B11,FIND(" ",B11,1),4)</f>
        <v xml:space="preserve"> G10</v>
      </c>
      <c r="H11" s="1" t="str">
        <f>IFERROR(LEFT(J11,FIND(" og ",J11,1)),J11)</f>
        <v xml:space="preserve">Anette Røed </v>
      </c>
      <c r="I11" s="1" t="str">
        <f>IFERROR(RIGHT(J11,LEN(J11) - FIND(" og ",J11,1) - 3),"")</f>
        <v>Anne Maren Eilerås</v>
      </c>
      <c r="J11" s="80" t="s">
        <v>177</v>
      </c>
    </row>
    <row r="12" spans="1:10">
      <c r="A12" s="3">
        <v>0.47916666666666669</v>
      </c>
      <c r="B12" t="s">
        <v>65</v>
      </c>
      <c r="C12" s="36" t="s">
        <v>128</v>
      </c>
      <c r="D12" t="s">
        <v>66</v>
      </c>
      <c r="E12" t="s">
        <v>77</v>
      </c>
      <c r="F12" t="s">
        <v>84</v>
      </c>
      <c r="G12" t="str">
        <f>MID(B12,FIND(" ",B12,1),4)</f>
        <v xml:space="preserve"> G10</v>
      </c>
      <c r="H12" s="1" t="str">
        <f>IFERROR(LEFT(J12,FIND(" og ",J12,1)),J12)</f>
        <v xml:space="preserve">Anette Røed </v>
      </c>
      <c r="I12" s="1" t="str">
        <f>IFERROR(RIGHT(J12,LEN(J12) - FIND(" og ",J12,1) - 3),"")</f>
        <v>Anne Maren Eilerås</v>
      </c>
      <c r="J12" s="80" t="s">
        <v>177</v>
      </c>
    </row>
    <row r="13" spans="1:10">
      <c r="A13" s="3">
        <v>0.50694444444444442</v>
      </c>
      <c r="B13" t="s">
        <v>65</v>
      </c>
      <c r="C13" s="36" t="s">
        <v>131</v>
      </c>
      <c r="D13" t="s">
        <v>66</v>
      </c>
      <c r="E13" t="s">
        <v>67</v>
      </c>
      <c r="F13" t="s">
        <v>89</v>
      </c>
      <c r="G13" t="str">
        <f>MID(B13,FIND(" ",B13,1),4)</f>
        <v xml:space="preserve"> G10</v>
      </c>
      <c r="H13" s="1" t="str">
        <f>IFERROR(LEFT(J13,FIND(" og ",J13,1)),J13)</f>
        <v xml:space="preserve">Anette Røed </v>
      </c>
      <c r="I13" s="1" t="str">
        <f>IFERROR(RIGHT(J13,LEN(J13) - FIND(" og ",J13,1) - 3),"")</f>
        <v>Anne Maren Eilerås</v>
      </c>
      <c r="J13" s="80" t="s">
        <v>177</v>
      </c>
    </row>
    <row r="14" spans="1:10">
      <c r="A14" s="3">
        <v>0.52430555555555558</v>
      </c>
      <c r="B14" t="s">
        <v>65</v>
      </c>
      <c r="C14" s="36" t="s">
        <v>134</v>
      </c>
      <c r="D14" t="s">
        <v>66</v>
      </c>
      <c r="E14" t="s">
        <v>83</v>
      </c>
      <c r="F14" t="s">
        <v>78</v>
      </c>
      <c r="G14" t="str">
        <f>MID(B14,FIND(" ",B14,1),4)</f>
        <v xml:space="preserve"> G10</v>
      </c>
      <c r="H14" s="1" t="str">
        <f>IFERROR(LEFT(J14,FIND(" og ",J14,1)),J14)</f>
        <v xml:space="preserve">Anette Røed </v>
      </c>
      <c r="I14" s="1" t="str">
        <f>IFERROR(RIGHT(J14,LEN(J14) - FIND(" og ",J14,1) - 3),"")</f>
        <v>Anne Maren Eilerås</v>
      </c>
      <c r="J14" s="80" t="s">
        <v>177</v>
      </c>
    </row>
    <row r="15" spans="1:10">
      <c r="A15" s="3">
        <v>0.54166666666666663</v>
      </c>
      <c r="B15" t="s">
        <v>65</v>
      </c>
      <c r="C15" s="36" t="s">
        <v>137</v>
      </c>
      <c r="D15" t="s">
        <v>66</v>
      </c>
      <c r="E15" t="s">
        <v>68</v>
      </c>
      <c r="F15" t="s">
        <v>84</v>
      </c>
      <c r="G15" t="str">
        <f>MID(B15,FIND(" ",B15,1),4)</f>
        <v xml:space="preserve"> G10</v>
      </c>
      <c r="H15" s="1" t="str">
        <f>IFERROR(LEFT(J15,FIND(" og ",J15,1)),J15)</f>
        <v>Celine Kjær Molvig</v>
      </c>
      <c r="I15" s="1" t="str">
        <f>IFERROR(RIGHT(J15,LEN(J15) - FIND(" og ",J15,1) - 3),"")</f>
        <v/>
      </c>
      <c r="J15" s="80" t="s">
        <v>38</v>
      </c>
    </row>
    <row r="16" spans="1:10">
      <c r="A16" s="3">
        <v>0.55902777777777779</v>
      </c>
      <c r="B16" t="s">
        <v>65</v>
      </c>
      <c r="C16" s="36" t="s">
        <v>140</v>
      </c>
      <c r="D16" t="s">
        <v>66</v>
      </c>
      <c r="E16" t="s">
        <v>78</v>
      </c>
      <c r="F16" t="s">
        <v>89</v>
      </c>
      <c r="G16" t="str">
        <f>MID(B16,FIND(" ",B16,1),4)</f>
        <v xml:space="preserve"> G10</v>
      </c>
      <c r="H16" s="1" t="str">
        <f>IFERROR(LEFT(J16,FIND(" og ",J16,1)),J16)</f>
        <v xml:space="preserve">Celine Kjær Molvig </v>
      </c>
      <c r="I16" s="1" t="str">
        <f>IFERROR(RIGHT(J16,LEN(J16) - FIND(" og ",J16,1) - 3),"")</f>
        <v>Vinos Ismail</v>
      </c>
      <c r="J16" s="80" t="s">
        <v>181</v>
      </c>
    </row>
    <row r="17" spans="1:10">
      <c r="A17" s="3">
        <v>0.57638888888888895</v>
      </c>
      <c r="B17" t="s">
        <v>95</v>
      </c>
      <c r="C17" s="36" t="s">
        <v>145</v>
      </c>
      <c r="D17" t="s">
        <v>66</v>
      </c>
      <c r="E17" t="s">
        <v>96</v>
      </c>
      <c r="F17" t="s">
        <v>90</v>
      </c>
      <c r="G17" t="str">
        <f>MID(B17,FIND(" ",B17,1),4)</f>
        <v xml:space="preserve"> G9 </v>
      </c>
      <c r="H17" s="1" t="str">
        <f>IFERROR(LEFT(J17,FIND(" og ",J17,1)),J17)</f>
        <v xml:space="preserve">Celine Kjær Molvig </v>
      </c>
      <c r="I17" s="1" t="str">
        <f>IFERROR(RIGHT(J17,LEN(J17) - FIND(" og ",J17,1) - 3),"")</f>
        <v>Vinos Ismail</v>
      </c>
      <c r="J17" s="80" t="s">
        <v>181</v>
      </c>
    </row>
    <row r="18" spans="1:10">
      <c r="A18" s="3">
        <v>0.59375</v>
      </c>
      <c r="B18" t="s">
        <v>95</v>
      </c>
      <c r="C18" s="36" t="s">
        <v>148</v>
      </c>
      <c r="D18" t="s">
        <v>66</v>
      </c>
      <c r="E18" t="s">
        <v>102</v>
      </c>
      <c r="F18" t="s">
        <v>83</v>
      </c>
      <c r="G18" t="str">
        <f>MID(B18,FIND(" ",B18,1),4)</f>
        <v xml:space="preserve"> G9 </v>
      </c>
      <c r="H18" s="1" t="str">
        <f>IFERROR(LEFT(J18,FIND(" og ",J18,1)),J18)</f>
        <v xml:space="preserve">Celine Kjær Molvig </v>
      </c>
      <c r="I18" s="1" t="str">
        <f>IFERROR(RIGHT(J18,LEN(J18) - FIND(" og ",J18,1) - 3),"")</f>
        <v>Vinos Ismail</v>
      </c>
      <c r="J18" s="80" t="s">
        <v>181</v>
      </c>
    </row>
    <row r="19" spans="1:10">
      <c r="A19" s="3">
        <v>0.61111111111111105</v>
      </c>
      <c r="B19" t="s">
        <v>95</v>
      </c>
      <c r="C19" s="36" t="s">
        <v>151</v>
      </c>
      <c r="D19" t="s">
        <v>66</v>
      </c>
      <c r="E19" t="s">
        <v>67</v>
      </c>
      <c r="F19" t="s">
        <v>105</v>
      </c>
      <c r="G19" t="str">
        <f>MID(B19,FIND(" ",B19,1),4)</f>
        <v xml:space="preserve"> G9 </v>
      </c>
      <c r="H19" s="1" t="str">
        <f>IFERROR(LEFT(J19,FIND(" og ",J19,1)),J19)</f>
        <v xml:space="preserve">Celine Kjær Molvig </v>
      </c>
      <c r="I19" s="1" t="str">
        <f>IFERROR(RIGHT(J19,LEN(J19) - FIND(" og ",J19,1) - 3),"")</f>
        <v>Vinos Ismail</v>
      </c>
      <c r="J19" s="80" t="s">
        <v>181</v>
      </c>
    </row>
    <row r="20" spans="1:10">
      <c r="A20" s="3">
        <v>0.62847222222222221</v>
      </c>
      <c r="B20" t="s">
        <v>95</v>
      </c>
      <c r="C20" s="36" t="s">
        <v>154</v>
      </c>
      <c r="D20" t="s">
        <v>66</v>
      </c>
      <c r="E20" t="s">
        <v>108</v>
      </c>
      <c r="F20" t="s">
        <v>102</v>
      </c>
      <c r="G20" t="str">
        <f>MID(B20,FIND(" ",B20,1),4)</f>
        <v xml:space="preserve"> G9 </v>
      </c>
      <c r="H20" s="1" t="str">
        <f>IFERROR(LEFT(J20,FIND(" og ",J20,1)),J20)</f>
        <v xml:space="preserve">Celine Kjær Molvig </v>
      </c>
      <c r="I20" s="1" t="str">
        <f>IFERROR(RIGHT(J20,LEN(J20) - FIND(" og ",J20,1) - 3),"")</f>
        <v>Vinos Ismail</v>
      </c>
      <c r="J20" s="80" t="s">
        <v>181</v>
      </c>
    </row>
    <row r="21" spans="1:10">
      <c r="A21" s="3">
        <v>0.64583333333333337</v>
      </c>
      <c r="B21" t="s">
        <v>95</v>
      </c>
      <c r="C21" s="36" t="s">
        <v>157</v>
      </c>
      <c r="D21" t="s">
        <v>66</v>
      </c>
      <c r="E21" t="s">
        <v>90</v>
      </c>
      <c r="F21" t="s">
        <v>67</v>
      </c>
      <c r="G21" t="str">
        <f>MID(B21,FIND(" ",B21,1),4)</f>
        <v xml:space="preserve"> G9 </v>
      </c>
      <c r="H21" s="1" t="str">
        <f>IFERROR(LEFT(J21,FIND(" og ",J21,1)),J21)</f>
        <v xml:space="preserve">Celine Kjær Molvig </v>
      </c>
      <c r="I21" s="1" t="str">
        <f>IFERROR(RIGHT(J21,LEN(J21) - FIND(" og ",J21,1) - 3),"")</f>
        <v>Vinos Ismail</v>
      </c>
      <c r="J21" s="80" t="s">
        <v>181</v>
      </c>
    </row>
    <row r="22" spans="1:10">
      <c r="A22" s="3">
        <v>0.375</v>
      </c>
      <c r="B22" t="s">
        <v>69</v>
      </c>
      <c r="C22" s="36" t="s">
        <v>111</v>
      </c>
      <c r="D22" t="s">
        <v>70</v>
      </c>
      <c r="E22" t="s">
        <v>71</v>
      </c>
      <c r="F22" t="s">
        <v>72</v>
      </c>
      <c r="G22" t="str">
        <f>MID(B22,FIND(" ",B22,1),4)</f>
        <v xml:space="preserve"> G10</v>
      </c>
      <c r="H22" s="1" t="str">
        <f>IFERROR(LEFT(J22,FIND(" og ",J22,1)),J22)</f>
        <v xml:space="preserve">Helle Kierulf </v>
      </c>
      <c r="I22" s="1" t="str">
        <f>IFERROR(RIGHT(J22,LEN(J22) - FIND(" og ",J22,1) - 3),"")</f>
        <v>Lene Brosvik</v>
      </c>
      <c r="J22" s="80" t="s">
        <v>180</v>
      </c>
    </row>
    <row r="23" spans="1:10">
      <c r="A23" s="3">
        <v>0.3923611111111111</v>
      </c>
      <c r="B23" t="s">
        <v>69</v>
      </c>
      <c r="C23" s="36" t="s">
        <v>114</v>
      </c>
      <c r="D23" t="s">
        <v>70</v>
      </c>
      <c r="E23" t="s">
        <v>79</v>
      </c>
      <c r="F23" t="s">
        <v>80</v>
      </c>
      <c r="G23" t="str">
        <f>MID(B23,FIND(" ",B23,1),4)</f>
        <v xml:space="preserve"> G10</v>
      </c>
      <c r="H23" s="1" t="str">
        <f>IFERROR(LEFT(J23,FIND(" og ",J23,1)),J23)</f>
        <v xml:space="preserve">Helle Kierulf </v>
      </c>
      <c r="I23" s="1" t="str">
        <f>IFERROR(RIGHT(J23,LEN(J23) - FIND(" og ",J23,1) - 3),"")</f>
        <v>Lene Brosvik</v>
      </c>
      <c r="J23" s="80" t="s">
        <v>180</v>
      </c>
    </row>
    <row r="24" spans="1:10">
      <c r="A24" s="3">
        <v>0.66319444444444442</v>
      </c>
      <c r="B24" t="s">
        <v>95</v>
      </c>
      <c r="C24" s="36" t="s">
        <v>160</v>
      </c>
      <c r="D24" t="s">
        <v>66</v>
      </c>
      <c r="E24" t="s">
        <v>83</v>
      </c>
      <c r="F24" t="s">
        <v>96</v>
      </c>
      <c r="G24" t="str">
        <f>MID(B24,FIND(" ",B24,1),4)</f>
        <v xml:space="preserve"> G9 </v>
      </c>
      <c r="H24" s="1" t="str">
        <f>IFERROR(LEFT(J24,FIND(" og ",J24,1)),J24)</f>
        <v xml:space="preserve">Helle Kierulf </v>
      </c>
      <c r="I24" s="1" t="str">
        <f>IFERROR(RIGHT(J24,LEN(J24) - FIND(" og ",J24,1) - 3),"")</f>
        <v>Lene Brosvik</v>
      </c>
      <c r="J24" s="80" t="s">
        <v>180</v>
      </c>
    </row>
    <row r="25" spans="1:10">
      <c r="A25" s="3">
        <v>0.68055555555555547</v>
      </c>
      <c r="B25" t="s">
        <v>95</v>
      </c>
      <c r="C25" s="36" t="s">
        <v>163</v>
      </c>
      <c r="D25" t="s">
        <v>66</v>
      </c>
      <c r="E25" t="s">
        <v>102</v>
      </c>
      <c r="F25" t="s">
        <v>105</v>
      </c>
      <c r="G25" t="str">
        <f>MID(B25,FIND(" ",B25,1),4)</f>
        <v xml:space="preserve"> G9 </v>
      </c>
      <c r="H25" s="1" t="str">
        <f>IFERROR(LEFT(J25,FIND(" og ",J25,1)),J25)</f>
        <v xml:space="preserve">Helle Kierulf </v>
      </c>
      <c r="I25" s="1" t="str">
        <f>IFERROR(RIGHT(J25,LEN(J25) - FIND(" og ",J25,1) - 3),"")</f>
        <v>Lene Brosvik</v>
      </c>
      <c r="J25" s="80" t="s">
        <v>180</v>
      </c>
    </row>
    <row r="26" spans="1:10">
      <c r="A26" s="50">
        <v>0.69791666666666663</v>
      </c>
      <c r="B26" s="1" t="s">
        <v>95</v>
      </c>
      <c r="C26" s="34" t="s">
        <v>166</v>
      </c>
      <c r="D26" s="1" t="s">
        <v>66</v>
      </c>
      <c r="E26" s="1" t="s">
        <v>96</v>
      </c>
      <c r="F26" s="1" t="s">
        <v>108</v>
      </c>
      <c r="G26" t="str">
        <f>MID(B26,FIND(" ",B26,1),4)</f>
        <v xml:space="preserve"> G9 </v>
      </c>
      <c r="H26" s="1" t="str">
        <f>IFERROR(LEFT(J26,FIND(" og ",J26,1)),J26)</f>
        <v xml:space="preserve">Helle Kierulf </v>
      </c>
      <c r="I26" s="1" t="str">
        <f>IFERROR(RIGHT(J26,LEN(J26) - FIND(" og ",J26,1) - 3),"")</f>
        <v>Lene Brosvik</v>
      </c>
      <c r="J26" s="80" t="s">
        <v>180</v>
      </c>
    </row>
    <row r="27" spans="1:10">
      <c r="A27" s="50">
        <v>0.72569444444444453</v>
      </c>
      <c r="B27" s="1" t="s">
        <v>95</v>
      </c>
      <c r="C27" s="34" t="s">
        <v>169</v>
      </c>
      <c r="D27" s="1" t="s">
        <v>66</v>
      </c>
      <c r="E27" s="1" t="s">
        <v>67</v>
      </c>
      <c r="F27" s="1" t="s">
        <v>83</v>
      </c>
      <c r="G27" t="str">
        <f>MID(B27,FIND(" ",B27,1),4)</f>
        <v xml:space="preserve"> G9 </v>
      </c>
      <c r="H27" s="1" t="str">
        <f>IFERROR(LEFT(J27,FIND(" og ",J27,1)),J27)</f>
        <v xml:space="preserve">Helle Kierulf </v>
      </c>
      <c r="I27" s="1" t="str">
        <f>IFERROR(RIGHT(J27,LEN(J27) - FIND(" og ",J27,1) - 3),"")</f>
        <v>Lene Brosvik</v>
      </c>
      <c r="J27" s="80" t="s">
        <v>180</v>
      </c>
    </row>
    <row r="28" spans="1:10">
      <c r="A28" s="50">
        <v>0.74305555555555547</v>
      </c>
      <c r="B28" s="1" t="s">
        <v>95</v>
      </c>
      <c r="C28" s="34" t="s">
        <v>172</v>
      </c>
      <c r="D28" s="1" t="s">
        <v>66</v>
      </c>
      <c r="E28" s="1" t="s">
        <v>90</v>
      </c>
      <c r="F28" s="1" t="s">
        <v>105</v>
      </c>
      <c r="G28" t="str">
        <f>MID(B28,FIND(" ",B28,1),4)</f>
        <v xml:space="preserve"> G9 </v>
      </c>
      <c r="H28" s="1" t="str">
        <f>IFERROR(LEFT(J28,FIND(" og ",J28,1)),J28)</f>
        <v xml:space="preserve">Helle Kierulf </v>
      </c>
      <c r="I28" s="1" t="str">
        <f>IFERROR(RIGHT(J28,LEN(J28) - FIND(" og ",J28,1) - 3),"")</f>
        <v>Lene Brosvik</v>
      </c>
      <c r="J28" s="80" t="s">
        <v>180</v>
      </c>
    </row>
    <row r="29" spans="1:10">
      <c r="A29" s="50">
        <v>0.76041666666666663</v>
      </c>
      <c r="B29" s="1" t="s">
        <v>95</v>
      </c>
      <c r="C29" s="34" t="s">
        <v>175</v>
      </c>
      <c r="D29" s="1" t="s">
        <v>66</v>
      </c>
      <c r="E29" s="1" t="s">
        <v>83</v>
      </c>
      <c r="F29" s="1" t="s">
        <v>108</v>
      </c>
      <c r="G29" t="str">
        <f>MID(B29,FIND(" ",B29,1),4)</f>
        <v xml:space="preserve"> G9 </v>
      </c>
      <c r="H29" s="1" t="str">
        <f>IFERROR(LEFT(J29,FIND(" og ",J29,1)),J29)</f>
        <v xml:space="preserve">Helle Kierulf </v>
      </c>
      <c r="I29" s="1" t="str">
        <f>IFERROR(RIGHT(J29,LEN(J29) - FIND(" og ",J29,1) - 3),"")</f>
        <v>Lene Brosvik</v>
      </c>
      <c r="J29" s="80" t="s">
        <v>180</v>
      </c>
    </row>
    <row r="30" spans="1:10">
      <c r="A30" s="3">
        <v>0.40972222222222227</v>
      </c>
      <c r="B30" t="s">
        <v>69</v>
      </c>
      <c r="C30" s="36" t="s">
        <v>117</v>
      </c>
      <c r="D30" t="s">
        <v>70</v>
      </c>
      <c r="E30" t="s">
        <v>85</v>
      </c>
      <c r="F30" t="s">
        <v>86</v>
      </c>
      <c r="G30" t="str">
        <f>MID(B30,FIND(" ",B30,1),4)</f>
        <v xml:space="preserve"> G10</v>
      </c>
      <c r="H30" s="1" t="str">
        <f>IFERROR(LEFT(J30,FIND(" og ",J30,1)),J30)</f>
        <v xml:space="preserve">Henriette O Foyn </v>
      </c>
      <c r="I30" s="1" t="str">
        <f>IFERROR(RIGHT(J30,LEN(J30) - FIND(" og ",J30,1) - 3),"")</f>
        <v>Lotte Bettum</v>
      </c>
      <c r="J30" s="80" t="s">
        <v>186</v>
      </c>
    </row>
    <row r="31" spans="1:10">
      <c r="A31" s="3">
        <v>0.42708333333333331</v>
      </c>
      <c r="B31" t="s">
        <v>69</v>
      </c>
      <c r="C31" s="36" t="s">
        <v>120</v>
      </c>
      <c r="D31" t="s">
        <v>70</v>
      </c>
      <c r="E31" t="s">
        <v>90</v>
      </c>
      <c r="F31" t="s">
        <v>79</v>
      </c>
      <c r="G31" t="str">
        <f>MID(B31,FIND(" ",B31,1),4)</f>
        <v xml:space="preserve"> G10</v>
      </c>
      <c r="H31" s="1" t="str">
        <f>IFERROR(LEFT(J31,FIND(" og ",J31,1)),J31)</f>
        <v xml:space="preserve">Henriette O Foyn </v>
      </c>
      <c r="I31" s="1" t="str">
        <f>IFERROR(RIGHT(J31,LEN(J31) - FIND(" og ",J31,1) - 3),"")</f>
        <v>Lotte Bettum</v>
      </c>
      <c r="J31" s="80" t="s">
        <v>186</v>
      </c>
    </row>
    <row r="32" spans="1:10">
      <c r="A32" s="3">
        <v>0.44444444444444442</v>
      </c>
      <c r="B32" t="s">
        <v>69</v>
      </c>
      <c r="C32" s="36" t="s">
        <v>123</v>
      </c>
      <c r="D32" t="s">
        <v>70</v>
      </c>
      <c r="E32" t="s">
        <v>72</v>
      </c>
      <c r="F32" t="s">
        <v>85</v>
      </c>
      <c r="G32" t="str">
        <f>MID(B32,FIND(" ",B32,1),4)</f>
        <v xml:space="preserve"> G10</v>
      </c>
      <c r="H32" s="1" t="str">
        <f>IFERROR(LEFT(J32,FIND(" og ",J32,1)),J32)</f>
        <v xml:space="preserve">Henriette O Foyn </v>
      </c>
      <c r="I32" s="1" t="str">
        <f>IFERROR(RIGHT(J32,LEN(J32) - FIND(" og ",J32,1) - 3),"")</f>
        <v>Lotte Bettum</v>
      </c>
      <c r="J32" s="80" t="s">
        <v>186</v>
      </c>
    </row>
    <row r="33" spans="1:10">
      <c r="A33" s="3">
        <v>0.46180555555555558</v>
      </c>
      <c r="B33" t="s">
        <v>69</v>
      </c>
      <c r="C33" s="36" t="s">
        <v>126</v>
      </c>
      <c r="D33" t="s">
        <v>70</v>
      </c>
      <c r="E33" t="s">
        <v>80</v>
      </c>
      <c r="F33" t="s">
        <v>71</v>
      </c>
      <c r="G33" t="str">
        <f>MID(B33,FIND(" ",B33,1),4)</f>
        <v xml:space="preserve"> G10</v>
      </c>
      <c r="H33" s="1" t="str">
        <f>IFERROR(LEFT(J33,FIND(" og ",J33,1)),J33)</f>
        <v xml:space="preserve">Henriette O Foyn </v>
      </c>
      <c r="I33" s="1" t="str">
        <f>IFERROR(RIGHT(J33,LEN(J33) - FIND(" og ",J33,1) - 3),"")</f>
        <v>Lotte Bettum</v>
      </c>
      <c r="J33" s="80" t="s">
        <v>186</v>
      </c>
    </row>
    <row r="34" spans="1:10">
      <c r="A34" s="3">
        <v>0.47916666666666669</v>
      </c>
      <c r="B34" t="s">
        <v>69</v>
      </c>
      <c r="C34" s="36" t="s">
        <v>129</v>
      </c>
      <c r="D34" t="s">
        <v>70</v>
      </c>
      <c r="E34" t="s">
        <v>79</v>
      </c>
      <c r="F34" t="s">
        <v>86</v>
      </c>
      <c r="G34" t="str">
        <f>MID(B34,FIND(" ",B34,1),4)</f>
        <v xml:space="preserve"> G10</v>
      </c>
      <c r="H34" s="1" t="str">
        <f>IFERROR(LEFT(J34,FIND(" og ",J34,1)),J34)</f>
        <v xml:space="preserve">Henriette O Foyn </v>
      </c>
      <c r="I34" s="1" t="str">
        <f>IFERROR(RIGHT(J34,LEN(J34) - FIND(" og ",J34,1) - 3),"")</f>
        <v>Lotte Bettum</v>
      </c>
      <c r="J34" s="80" t="s">
        <v>186</v>
      </c>
    </row>
    <row r="35" spans="1:10">
      <c r="A35" s="3">
        <v>0.50694444444444442</v>
      </c>
      <c r="B35" t="s">
        <v>69</v>
      </c>
      <c r="C35" s="36" t="s">
        <v>132</v>
      </c>
      <c r="D35" t="s">
        <v>70</v>
      </c>
      <c r="E35" t="s">
        <v>71</v>
      </c>
      <c r="F35" t="s">
        <v>90</v>
      </c>
      <c r="G35" t="str">
        <f>MID(B35,FIND(" ",B35,1),4)</f>
        <v xml:space="preserve"> G10</v>
      </c>
      <c r="H35" s="1" t="str">
        <f>IFERROR(LEFT(J35,FIND(" og ",J35,1)),J35)</f>
        <v xml:space="preserve">Henriette O Foyn </v>
      </c>
      <c r="I35" s="1" t="str">
        <f>IFERROR(RIGHT(J35,LEN(J35) - FIND(" og ",J35,1) - 3),"")</f>
        <v>Lotte Bettum</v>
      </c>
      <c r="J35" s="80" t="s">
        <v>186</v>
      </c>
    </row>
    <row r="36" spans="1:10">
      <c r="A36" s="3">
        <v>0.52430555555555558</v>
      </c>
      <c r="B36" t="s">
        <v>69</v>
      </c>
      <c r="C36" s="36" t="s">
        <v>135</v>
      </c>
      <c r="D36" t="s">
        <v>70</v>
      </c>
      <c r="E36" t="s">
        <v>85</v>
      </c>
      <c r="F36" t="s">
        <v>80</v>
      </c>
      <c r="G36" t="str">
        <f>MID(B36,FIND(" ",B36,1),4)</f>
        <v xml:space="preserve"> G10</v>
      </c>
      <c r="H36" s="1" t="str">
        <f>IFERROR(LEFT(J36,FIND(" og ",J36,1)),J36)</f>
        <v xml:space="preserve">Ingeborg Morberg </v>
      </c>
      <c r="I36" s="1" t="str">
        <f>IFERROR(RIGHT(J36,LEN(J36) - FIND(" og ",J36,1) - 3),"")</f>
        <v>Maya W Solberg</v>
      </c>
      <c r="J36" s="80" t="s">
        <v>183</v>
      </c>
    </row>
    <row r="37" spans="1:10">
      <c r="A37" s="3">
        <v>0.54166666666666663</v>
      </c>
      <c r="B37" t="s">
        <v>69</v>
      </c>
      <c r="C37" s="36" t="s">
        <v>138</v>
      </c>
      <c r="D37" t="s">
        <v>70</v>
      </c>
      <c r="E37" t="s">
        <v>72</v>
      </c>
      <c r="F37" t="s">
        <v>86</v>
      </c>
      <c r="G37" t="str">
        <f>MID(B37,FIND(" ",B37,1),4)</f>
        <v xml:space="preserve"> G10</v>
      </c>
      <c r="H37" s="1" t="str">
        <f>IFERROR(LEFT(J37,FIND(" og ",J37,1)),J37)</f>
        <v xml:space="preserve">Ingeborg Morberg </v>
      </c>
      <c r="I37" s="1" t="str">
        <f>IFERROR(RIGHT(J37,LEN(J37) - FIND(" og ",J37,1) - 3),"")</f>
        <v>Maya W Solberg</v>
      </c>
      <c r="J37" s="80" t="s">
        <v>183</v>
      </c>
    </row>
    <row r="38" spans="1:10">
      <c r="A38" s="3">
        <v>0.55902777777777779</v>
      </c>
      <c r="B38" t="s">
        <v>69</v>
      </c>
      <c r="C38" s="36" t="s">
        <v>141</v>
      </c>
      <c r="D38" t="s">
        <v>70</v>
      </c>
      <c r="E38" t="s">
        <v>80</v>
      </c>
      <c r="F38" t="s">
        <v>90</v>
      </c>
      <c r="G38" t="str">
        <f>MID(B38,FIND(" ",B38,1),4)</f>
        <v xml:space="preserve"> G10</v>
      </c>
      <c r="H38" s="1" t="str">
        <f>IFERROR(LEFT(J38,FIND(" og ",J38,1)),J38)</f>
        <v xml:space="preserve">Ingeborg Morberg </v>
      </c>
      <c r="I38" s="1" t="str">
        <f>IFERROR(RIGHT(J38,LEN(J38) - FIND(" og ",J38,1) - 3),"")</f>
        <v>Maya W Solberg</v>
      </c>
      <c r="J38" s="80" t="s">
        <v>183</v>
      </c>
    </row>
    <row r="39" spans="1:10">
      <c r="A39" s="3">
        <v>0.57638888888888895</v>
      </c>
      <c r="B39" t="s">
        <v>93</v>
      </c>
      <c r="C39" s="36" t="s">
        <v>144</v>
      </c>
      <c r="D39" t="s">
        <v>70</v>
      </c>
      <c r="E39" t="s">
        <v>80</v>
      </c>
      <c r="F39" t="s">
        <v>94</v>
      </c>
      <c r="G39" t="str">
        <f>MID(B39,FIND(" ",B39,1),4)</f>
        <v xml:space="preserve"> G9 </v>
      </c>
      <c r="H39" s="1" t="str">
        <f>IFERROR(LEFT(J39,FIND(" og ",J39,1)),J39)</f>
        <v xml:space="preserve">Ingeborg Morberg </v>
      </c>
      <c r="I39" s="1" t="str">
        <f>IFERROR(RIGHT(J39,LEN(J39) - FIND(" og ",J39,1) - 3),"")</f>
        <v>Maya W Solberg</v>
      </c>
      <c r="J39" s="80" t="s">
        <v>183</v>
      </c>
    </row>
    <row r="40" spans="1:10">
      <c r="A40" s="3">
        <v>0.59375</v>
      </c>
      <c r="B40" t="s">
        <v>93</v>
      </c>
      <c r="C40" s="36" t="s">
        <v>146</v>
      </c>
      <c r="D40" t="s">
        <v>70</v>
      </c>
      <c r="E40" t="s">
        <v>97</v>
      </c>
      <c r="F40" t="s">
        <v>98</v>
      </c>
      <c r="G40" t="str">
        <f>MID(B40,FIND(" ",B40,1),4)</f>
        <v xml:space="preserve"> G9 </v>
      </c>
      <c r="H40" s="1" t="str">
        <f>IFERROR(LEFT(J40,FIND(" og ",J40,1)),J40)</f>
        <v xml:space="preserve">Ingeborg Morberg </v>
      </c>
      <c r="I40" s="1" t="str">
        <f>IFERROR(RIGHT(J40,LEN(J40) - FIND(" og ",J40,1) - 3),"")</f>
        <v>Maya W Solberg</v>
      </c>
      <c r="J40" s="80" t="s">
        <v>183</v>
      </c>
    </row>
    <row r="41" spans="1:10">
      <c r="A41" s="3">
        <v>0.61111111111111105</v>
      </c>
      <c r="B41" t="s">
        <v>93</v>
      </c>
      <c r="C41" s="36" t="s">
        <v>149</v>
      </c>
      <c r="D41" t="s">
        <v>70</v>
      </c>
      <c r="E41" t="s">
        <v>103</v>
      </c>
      <c r="F41" t="s">
        <v>68</v>
      </c>
      <c r="G41" t="str">
        <f>MID(B41,FIND(" ",B41,1),4)</f>
        <v xml:space="preserve"> G9 </v>
      </c>
      <c r="H41" s="1" t="str">
        <f>IFERROR(LEFT(J41,FIND(" og ",J41,1)),J41)</f>
        <v xml:space="preserve">Ingeborg Morberg </v>
      </c>
      <c r="I41" s="1" t="str">
        <f>IFERROR(RIGHT(J41,LEN(J41) - FIND(" og ",J41,1) - 3),"")</f>
        <v>Maya W Solberg</v>
      </c>
      <c r="J41" s="80" t="s">
        <v>183</v>
      </c>
    </row>
    <row r="42" spans="1:10">
      <c r="A42" s="3">
        <v>0.62847222222222221</v>
      </c>
      <c r="B42" t="s">
        <v>93</v>
      </c>
      <c r="C42" s="36" t="s">
        <v>152</v>
      </c>
      <c r="D42" t="s">
        <v>70</v>
      </c>
      <c r="E42" t="s">
        <v>77</v>
      </c>
      <c r="F42" t="s">
        <v>97</v>
      </c>
      <c r="G42" t="str">
        <f>MID(B42,FIND(" ",B42,1),4)</f>
        <v xml:space="preserve"> G9 </v>
      </c>
      <c r="H42" s="1" t="str">
        <f>IFERROR(LEFT(J42,FIND(" og ",J42,1)),J42)</f>
        <v xml:space="preserve">Ingeborg Morberg </v>
      </c>
      <c r="I42" s="1" t="str">
        <f>IFERROR(RIGHT(J42,LEN(J42) - FIND(" og ",J42,1) - 3),"")</f>
        <v>Maya W Solberg</v>
      </c>
      <c r="J42" s="80" t="s">
        <v>183</v>
      </c>
    </row>
    <row r="43" spans="1:10">
      <c r="A43" s="3">
        <v>0.64583333333333337</v>
      </c>
      <c r="B43" t="s">
        <v>93</v>
      </c>
      <c r="C43" s="36" t="s">
        <v>155</v>
      </c>
      <c r="D43" t="s">
        <v>70</v>
      </c>
      <c r="E43" t="s">
        <v>94</v>
      </c>
      <c r="F43" t="s">
        <v>103</v>
      </c>
      <c r="G43" t="str">
        <f>MID(B43,FIND(" ",B43,1),4)</f>
        <v xml:space="preserve"> G9 </v>
      </c>
      <c r="H43" s="1" t="str">
        <f>IFERROR(LEFT(J43,FIND(" og ",J43,1)),J43)</f>
        <v xml:space="preserve">Ingeborg Morberg </v>
      </c>
      <c r="I43" s="1" t="str">
        <f>IFERROR(RIGHT(J43,LEN(J43) - FIND(" og ",J43,1) - 3),"")</f>
        <v>Maya W Solberg</v>
      </c>
      <c r="J43" s="80" t="s">
        <v>183</v>
      </c>
    </row>
    <row r="44" spans="1:10">
      <c r="A44" s="3">
        <v>0.66319444444444442</v>
      </c>
      <c r="B44" t="s">
        <v>93</v>
      </c>
      <c r="C44" s="36" t="s">
        <v>158</v>
      </c>
      <c r="D44" t="s">
        <v>70</v>
      </c>
      <c r="E44" t="s">
        <v>98</v>
      </c>
      <c r="F44" t="s">
        <v>80</v>
      </c>
      <c r="G44" t="str">
        <f>MID(B44,FIND(" ",B44,1),4)</f>
        <v xml:space="preserve"> G9 </v>
      </c>
      <c r="H44" s="1" t="str">
        <f>IFERROR(LEFT(J44,FIND(" og ",J44,1)),J44)</f>
        <v xml:space="preserve">Ingeborg Morberg </v>
      </c>
      <c r="I44" s="1" t="str">
        <f>IFERROR(RIGHT(J44,LEN(J44) - FIND(" og ",J44,1) - 3),"")</f>
        <v>Maya W Solberg</v>
      </c>
      <c r="J44" s="80" t="s">
        <v>183</v>
      </c>
    </row>
    <row r="45" spans="1:10">
      <c r="A45" s="3">
        <v>0.68055555555555547</v>
      </c>
      <c r="B45" t="s">
        <v>93</v>
      </c>
      <c r="C45" s="36" t="s">
        <v>161</v>
      </c>
      <c r="D45" t="s">
        <v>70</v>
      </c>
      <c r="E45" t="s">
        <v>97</v>
      </c>
      <c r="F45" t="s">
        <v>68</v>
      </c>
      <c r="G45" t="str">
        <f>MID(B45,FIND(" ",B45,1),4)</f>
        <v xml:space="preserve"> G9 </v>
      </c>
      <c r="H45" s="1" t="str">
        <f>IFERROR(LEFT(J45,FIND(" og ",J45,1)),J45)</f>
        <v xml:space="preserve">Ingeborg Morberg </v>
      </c>
      <c r="I45" s="1" t="str">
        <f>IFERROR(RIGHT(J45,LEN(J45) - FIND(" og ",J45,1) - 3),"")</f>
        <v>Maya W Solberg</v>
      </c>
      <c r="J45" s="80" t="s">
        <v>183</v>
      </c>
    </row>
    <row r="46" spans="1:10">
      <c r="A46" s="50">
        <v>0.69791666666666663</v>
      </c>
      <c r="B46" s="1" t="s">
        <v>93</v>
      </c>
      <c r="C46" s="34" t="s">
        <v>164</v>
      </c>
      <c r="D46" s="1" t="s">
        <v>70</v>
      </c>
      <c r="E46" s="1" t="s">
        <v>80</v>
      </c>
      <c r="F46" s="1" t="s">
        <v>77</v>
      </c>
      <c r="G46" t="str">
        <f>MID(B46,FIND(" ",B46,1),4)</f>
        <v xml:space="preserve"> G9 </v>
      </c>
      <c r="H46" s="1" t="str">
        <f>IFERROR(LEFT(J46,FIND(" og ",J46,1)),J46)</f>
        <v xml:space="preserve">Ingeborg Morberg </v>
      </c>
      <c r="I46" s="1" t="str">
        <f>IFERROR(RIGHT(J46,LEN(J46) - FIND(" og ",J46,1) - 3),"")</f>
        <v>Maya W Solberg</v>
      </c>
      <c r="J46" s="80" t="s">
        <v>183</v>
      </c>
    </row>
    <row r="47" spans="1:10">
      <c r="A47" s="50">
        <v>0.72569444444444453</v>
      </c>
      <c r="B47" s="1" t="s">
        <v>93</v>
      </c>
      <c r="C47" s="34" t="s">
        <v>167</v>
      </c>
      <c r="D47" s="1" t="s">
        <v>70</v>
      </c>
      <c r="E47" s="1" t="s">
        <v>103</v>
      </c>
      <c r="F47" s="1" t="s">
        <v>98</v>
      </c>
      <c r="G47" t="str">
        <f>MID(B47,FIND(" ",B47,1),4)</f>
        <v xml:space="preserve"> G9 </v>
      </c>
      <c r="H47" s="1" t="str">
        <f>IFERROR(LEFT(J47,FIND(" og ",J47,1)),J47)</f>
        <v xml:space="preserve">Ingeborg Morberg </v>
      </c>
      <c r="I47" s="1" t="str">
        <f>IFERROR(RIGHT(J47,LEN(J47) - FIND(" og ",J47,1) - 3),"")</f>
        <v>Vinos Ismail</v>
      </c>
      <c r="J47" s="80" t="s">
        <v>179</v>
      </c>
    </row>
    <row r="48" spans="1:10">
      <c r="A48" s="3">
        <v>0.375</v>
      </c>
      <c r="B48" t="s">
        <v>73</v>
      </c>
      <c r="C48" s="36" t="s">
        <v>112</v>
      </c>
      <c r="D48" t="s">
        <v>74</v>
      </c>
      <c r="E48" t="s">
        <v>75</v>
      </c>
      <c r="F48" t="s">
        <v>76</v>
      </c>
      <c r="G48" t="str">
        <f>MID(B48,FIND(" ",B48,1),4)</f>
        <v xml:space="preserve"> G9 </v>
      </c>
      <c r="H48" s="1" t="str">
        <f>IFERROR(LEFT(J48,FIND(" og ",J48,1)),J48)</f>
        <v xml:space="preserve">Lotte Bettum </v>
      </c>
      <c r="I48" s="1" t="str">
        <f>IFERROR(RIGHT(J48,LEN(J48) - FIND(" og ",J48,1) - 3),"")</f>
        <v>Selma Henriksen</v>
      </c>
      <c r="J48" s="80" t="s">
        <v>188</v>
      </c>
    </row>
    <row r="49" spans="1:10">
      <c r="A49" s="3">
        <v>0.3923611111111111</v>
      </c>
      <c r="B49" t="s">
        <v>73</v>
      </c>
      <c r="C49" s="36" t="s">
        <v>115</v>
      </c>
      <c r="D49" t="s">
        <v>74</v>
      </c>
      <c r="E49" t="s">
        <v>81</v>
      </c>
      <c r="F49" t="s">
        <v>82</v>
      </c>
      <c r="G49" t="str">
        <f>MID(B49,FIND(" ",B49,1),4)</f>
        <v xml:space="preserve"> G9 </v>
      </c>
      <c r="H49" s="1" t="str">
        <f>IFERROR(LEFT(J49,FIND(" og ",J49,1)),J49)</f>
        <v xml:space="preserve">Lotte Bettum </v>
      </c>
      <c r="I49" s="1" t="str">
        <f>IFERROR(RIGHT(J49,LEN(J49) - FIND(" og ",J49,1) - 3),"")</f>
        <v>Selma Henriksen</v>
      </c>
      <c r="J49" s="80" t="s">
        <v>188</v>
      </c>
    </row>
    <row r="50" spans="1:10">
      <c r="A50" s="3">
        <v>0.40972222222222227</v>
      </c>
      <c r="B50" t="s">
        <v>73</v>
      </c>
      <c r="C50" s="36" t="s">
        <v>118</v>
      </c>
      <c r="D50" t="s">
        <v>74</v>
      </c>
      <c r="E50" t="s">
        <v>87</v>
      </c>
      <c r="F50" t="s">
        <v>88</v>
      </c>
      <c r="G50" t="str">
        <f>MID(B50,FIND(" ",B50,1),4)</f>
        <v xml:space="preserve"> G9 </v>
      </c>
      <c r="H50" s="1" t="str">
        <f>IFERROR(LEFT(J50,FIND(" og ",J50,1)),J50)</f>
        <v xml:space="preserve">Lotte Bettum </v>
      </c>
      <c r="I50" s="1" t="str">
        <f>IFERROR(RIGHT(J50,LEN(J50) - FIND(" og ",J50,1) - 3),"")</f>
        <v>Selma Henriksen</v>
      </c>
      <c r="J50" s="80" t="s">
        <v>188</v>
      </c>
    </row>
    <row r="51" spans="1:10">
      <c r="A51" s="50">
        <v>0.74305555555555547</v>
      </c>
      <c r="B51" s="1" t="s">
        <v>93</v>
      </c>
      <c r="C51" s="34" t="s">
        <v>170</v>
      </c>
      <c r="D51" s="1" t="s">
        <v>70</v>
      </c>
      <c r="E51" s="1" t="s">
        <v>94</v>
      </c>
      <c r="F51" s="1" t="s">
        <v>68</v>
      </c>
      <c r="G51" t="str">
        <f>MID(B51,FIND(" ",B51,1),4)</f>
        <v xml:space="preserve"> G9 </v>
      </c>
      <c r="H51" s="1" t="str">
        <f>IFERROR(LEFT(J51,FIND(" og ",J51,1)),J51)</f>
        <v xml:space="preserve">Lotte Bettum </v>
      </c>
      <c r="I51" s="1" t="str">
        <f>IFERROR(RIGHT(J51,LEN(J51) - FIND(" og ",J51,1) - 3),"")</f>
        <v>Selma Henriksen</v>
      </c>
      <c r="J51" s="80" t="s">
        <v>188</v>
      </c>
    </row>
    <row r="52" spans="1:10">
      <c r="A52" s="50">
        <v>0.76041666666666663</v>
      </c>
      <c r="B52" s="1" t="s">
        <v>93</v>
      </c>
      <c r="C52" s="34" t="s">
        <v>173</v>
      </c>
      <c r="D52" s="1" t="s">
        <v>70</v>
      </c>
      <c r="E52" s="1" t="s">
        <v>98</v>
      </c>
      <c r="F52" s="1" t="s">
        <v>77</v>
      </c>
      <c r="G52" t="str">
        <f>MID(B52,FIND(" ",B52,1),4)</f>
        <v xml:space="preserve"> G9 </v>
      </c>
      <c r="H52" s="1" t="str">
        <f>IFERROR(LEFT(J52,FIND(" og ",J52,1)),J52)</f>
        <v xml:space="preserve">Lotte Bettum </v>
      </c>
      <c r="I52" s="1" t="str">
        <f>IFERROR(RIGHT(J52,LEN(J52) - FIND(" og ",J52,1) - 3),"")</f>
        <v>Selma Henriksen</v>
      </c>
      <c r="J52" s="80" t="s">
        <v>188</v>
      </c>
    </row>
    <row r="53" spans="1:10">
      <c r="A53" s="3">
        <v>0.42708333333333331</v>
      </c>
      <c r="B53" t="s">
        <v>73</v>
      </c>
      <c r="C53" s="36" t="s">
        <v>121</v>
      </c>
      <c r="D53" t="s">
        <v>74</v>
      </c>
      <c r="E53" t="s">
        <v>91</v>
      </c>
      <c r="F53" t="s">
        <v>92</v>
      </c>
      <c r="G53" t="str">
        <f>MID(B53,FIND(" ",B53,1),4)</f>
        <v xml:space="preserve"> G9 </v>
      </c>
      <c r="H53" s="1" t="str">
        <f>IFERROR(LEFT(J53,FIND(" og ",J53,1)),J53)</f>
        <v xml:space="preserve">Lotte Bettum </v>
      </c>
      <c r="I53" s="1" t="str">
        <f>IFERROR(RIGHT(J53,LEN(J53) - FIND(" og ",J53,1) - 3),"")</f>
        <v>Vinos Ismail</v>
      </c>
      <c r="J53" s="80" t="s">
        <v>184</v>
      </c>
    </row>
    <row r="54" spans="1:10">
      <c r="A54" s="3">
        <v>0.44444444444444442</v>
      </c>
      <c r="B54" t="s">
        <v>73</v>
      </c>
      <c r="C54" s="36" t="s">
        <v>124</v>
      </c>
      <c r="D54" t="s">
        <v>74</v>
      </c>
      <c r="E54" t="s">
        <v>75</v>
      </c>
      <c r="F54" t="s">
        <v>82</v>
      </c>
      <c r="G54" t="str">
        <f>MID(B54,FIND(" ",B54,1),4)</f>
        <v xml:space="preserve"> G9 </v>
      </c>
      <c r="H54" s="1" t="str">
        <f>IFERROR(LEFT(J54,FIND(" og ",J54,1)),J54)</f>
        <v xml:space="preserve">Maya W Solberg </v>
      </c>
      <c r="I54" s="1" t="str">
        <f>IFERROR(RIGHT(J54,LEN(J54) - FIND(" og ",J54,1) - 3),"")</f>
        <v>Vinos Ismail</v>
      </c>
      <c r="J54" s="80" t="s">
        <v>178</v>
      </c>
    </row>
    <row r="55" spans="1:10">
      <c r="A55" s="3">
        <v>0.46180555555555558</v>
      </c>
      <c r="B55" t="s">
        <v>73</v>
      </c>
      <c r="C55" s="36" t="s">
        <v>127</v>
      </c>
      <c r="D55" t="s">
        <v>74</v>
      </c>
      <c r="E55" t="s">
        <v>76</v>
      </c>
      <c r="F55" t="s">
        <v>81</v>
      </c>
      <c r="G55" t="str">
        <f>MID(B55,FIND(" ",B55,1),4)</f>
        <v xml:space="preserve"> G9 </v>
      </c>
      <c r="H55" s="1" t="str">
        <f>IFERROR(LEFT(J55,FIND(" og ",J55,1)),J55)</f>
        <v xml:space="preserve">Selma Henriksen </v>
      </c>
      <c r="I55" s="1" t="str">
        <f>IFERROR(RIGHT(J55,LEN(J55) - FIND(" og ",J55,1) - 3),"")</f>
        <v>Henriette O Foyn</v>
      </c>
      <c r="J55" s="80" t="s">
        <v>187</v>
      </c>
    </row>
    <row r="56" spans="1:10">
      <c r="A56" s="3">
        <v>0.47916666666666669</v>
      </c>
      <c r="B56" t="s">
        <v>73</v>
      </c>
      <c r="C56" s="36" t="s">
        <v>130</v>
      </c>
      <c r="D56" t="s">
        <v>74</v>
      </c>
      <c r="E56" t="s">
        <v>92</v>
      </c>
      <c r="F56" t="s">
        <v>87</v>
      </c>
      <c r="G56" t="str">
        <f>MID(B56,FIND(" ",B56,1),4)</f>
        <v xml:space="preserve"> G9 </v>
      </c>
      <c r="H56" s="1" t="str">
        <f>IFERROR(LEFT(J56,FIND(" og ",J56,1)),J56)</f>
        <v xml:space="preserve">Selma Henriksen </v>
      </c>
      <c r="I56" s="1" t="str">
        <f>IFERROR(RIGHT(J56,LEN(J56) - FIND(" og ",J56,1) - 3),"")</f>
        <v>Henriette O Foyn</v>
      </c>
      <c r="J56" s="80" t="s">
        <v>187</v>
      </c>
    </row>
    <row r="57" spans="1:10">
      <c r="A57" s="3">
        <v>0.50694444444444442</v>
      </c>
      <c r="B57" t="s">
        <v>73</v>
      </c>
      <c r="C57" s="36" t="s">
        <v>133</v>
      </c>
      <c r="D57" t="s">
        <v>74</v>
      </c>
      <c r="E57" t="s">
        <v>88</v>
      </c>
      <c r="F57" t="s">
        <v>91</v>
      </c>
      <c r="G57" t="str">
        <f>MID(B57,FIND(" ",B57,1),4)</f>
        <v xml:space="preserve"> G9 </v>
      </c>
      <c r="H57" s="1" t="str">
        <f>IFERROR(LEFT(J57,FIND(" og ",J57,1)),J57)</f>
        <v xml:space="preserve">Selma Henriksen </v>
      </c>
      <c r="I57" s="1" t="str">
        <f>IFERROR(RIGHT(J57,LEN(J57) - FIND(" og ",J57,1) - 3),"")</f>
        <v>Henriette O Foyn</v>
      </c>
      <c r="J57" s="80" t="s">
        <v>187</v>
      </c>
    </row>
    <row r="58" spans="1:10">
      <c r="A58" s="3">
        <v>0.52430555555555558</v>
      </c>
      <c r="B58" t="s">
        <v>73</v>
      </c>
      <c r="C58" s="36" t="s">
        <v>136</v>
      </c>
      <c r="D58" t="s">
        <v>74</v>
      </c>
      <c r="E58" t="s">
        <v>82</v>
      </c>
      <c r="F58" t="s">
        <v>76</v>
      </c>
      <c r="G58" t="str">
        <f>MID(B58,FIND(" ",B58,1),4)</f>
        <v xml:space="preserve"> G9 </v>
      </c>
      <c r="H58" s="1" t="str">
        <f>IFERROR(LEFT(J58,FIND(" og ",J58,1)),J58)</f>
        <v xml:space="preserve">Selma Henriksen </v>
      </c>
      <c r="I58" s="1" t="str">
        <f>IFERROR(RIGHT(J58,LEN(J58) - FIND(" og ",J58,1) - 3),"")</f>
        <v>Henriette O Foyn</v>
      </c>
      <c r="J58" s="80" t="s">
        <v>187</v>
      </c>
    </row>
    <row r="59" spans="1:10" ht="15.75" thickBot="1">
      <c r="A59" s="81">
        <v>0.54166666666666663</v>
      </c>
      <c r="B59" t="s">
        <v>73</v>
      </c>
      <c r="C59" s="36" t="s">
        <v>139</v>
      </c>
      <c r="D59" t="s">
        <v>74</v>
      </c>
      <c r="E59" t="s">
        <v>81</v>
      </c>
      <c r="F59" t="s">
        <v>75</v>
      </c>
      <c r="G59" t="str">
        <f>MID(B59,FIND(" ",B59,1),4)</f>
        <v xml:space="preserve"> G9 </v>
      </c>
      <c r="H59" s="1" t="str">
        <f>IFERROR(LEFT(J59,FIND(" og ",J59,1)),J59)</f>
        <v xml:space="preserve">Selma Henriksen </v>
      </c>
      <c r="I59" s="1" t="str">
        <f>IFERROR(RIGHT(J59,LEN(J59) - FIND(" og ",J59,1) - 3),"")</f>
        <v>Henriette O Foyn</v>
      </c>
      <c r="J59" s="80" t="s">
        <v>187</v>
      </c>
    </row>
    <row r="60" spans="1:10">
      <c r="A60" s="51">
        <v>0.55902777777777779</v>
      </c>
      <c r="B60" t="s">
        <v>73</v>
      </c>
      <c r="C60" s="36" t="s">
        <v>142</v>
      </c>
      <c r="D60" t="s">
        <v>74</v>
      </c>
      <c r="E60" t="s">
        <v>88</v>
      </c>
      <c r="F60" t="s">
        <v>92</v>
      </c>
      <c r="G60" t="str">
        <f>MID(B60,FIND(" ",B60,1),4)</f>
        <v xml:space="preserve"> G9 </v>
      </c>
      <c r="H60" s="1" t="str">
        <f>IFERROR(LEFT(J60,FIND(" og ",J60,1)),J60)</f>
        <v xml:space="preserve">Selma Henriksen </v>
      </c>
      <c r="I60" s="1" t="str">
        <f>IFERROR(RIGHT(J60,LEN(J60) - FIND(" og ",J60,1) - 3),"")</f>
        <v>Henriette O Foyn</v>
      </c>
      <c r="J60" s="80" t="s">
        <v>187</v>
      </c>
    </row>
    <row r="61" spans="1:10">
      <c r="A61" s="51">
        <v>0.57638888888888895</v>
      </c>
      <c r="B61" t="s">
        <v>73</v>
      </c>
      <c r="C61" s="36" t="s">
        <v>143</v>
      </c>
      <c r="D61" t="s">
        <v>74</v>
      </c>
      <c r="E61" t="s">
        <v>91</v>
      </c>
      <c r="F61" t="s">
        <v>87</v>
      </c>
      <c r="G61" t="str">
        <f>MID(B61,FIND(" ",B61,1),4)</f>
        <v xml:space="preserve"> G9 </v>
      </c>
      <c r="H61" s="1" t="str">
        <f>IFERROR(LEFT(J61,FIND(" og ",J61,1)),J61)</f>
        <v xml:space="preserve">Selma Henriksen </v>
      </c>
      <c r="I61" s="1" t="str">
        <f>IFERROR(RIGHT(J61,LEN(J61) - FIND(" og ",J61,1) - 3),"")</f>
        <v>Vinos Ismail</v>
      </c>
      <c r="J61" s="80" t="s">
        <v>185</v>
      </c>
    </row>
    <row r="62" spans="1:10">
      <c r="A62" s="51">
        <v>0.59375</v>
      </c>
      <c r="B62" t="s">
        <v>99</v>
      </c>
      <c r="C62" s="36" t="s">
        <v>147</v>
      </c>
      <c r="D62" t="s">
        <v>74</v>
      </c>
      <c r="E62" t="s">
        <v>100</v>
      </c>
      <c r="F62" t="s">
        <v>101</v>
      </c>
      <c r="G62" t="str">
        <f>MID(B62,FIND(" ",B62,1),4)</f>
        <v xml:space="preserve"> G9 </v>
      </c>
      <c r="H62" s="1" t="str">
        <f>IFERROR(LEFT(J62,FIND(" og ",J62,1)),J62)</f>
        <v xml:space="preserve">Ulrik Kjærgaard </v>
      </c>
      <c r="I62" s="1" t="str">
        <f>IFERROR(RIGHT(J62,LEN(J62) - FIND(" og ",J62,1) - 3),"")</f>
        <v>Hoanh Vinh</v>
      </c>
      <c r="J62" s="80" t="s">
        <v>182</v>
      </c>
    </row>
    <row r="63" spans="1:10">
      <c r="A63" s="51">
        <v>0.61111111111111105</v>
      </c>
      <c r="B63" t="s">
        <v>99</v>
      </c>
      <c r="C63" s="36" t="s">
        <v>150</v>
      </c>
      <c r="D63" t="s">
        <v>74</v>
      </c>
      <c r="E63" t="s">
        <v>104</v>
      </c>
      <c r="F63" t="s">
        <v>102</v>
      </c>
      <c r="G63" t="str">
        <f>MID(B63,FIND(" ",B63,1),4)</f>
        <v xml:space="preserve"> G9 </v>
      </c>
      <c r="H63" s="1" t="str">
        <f>IFERROR(LEFT(J63,FIND(" og ",J63,1)),J63)</f>
        <v xml:space="preserve">Ulrik Kjærgaard </v>
      </c>
      <c r="I63" s="1" t="str">
        <f>IFERROR(RIGHT(J63,LEN(J63) - FIND(" og ",J63,1) - 3),"")</f>
        <v>Hoanh Vinh</v>
      </c>
      <c r="J63" s="80" t="s">
        <v>182</v>
      </c>
    </row>
    <row r="64" spans="1:10">
      <c r="A64" s="51">
        <v>0.62847222222222221</v>
      </c>
      <c r="B64" t="s">
        <v>99</v>
      </c>
      <c r="C64" s="36" t="s">
        <v>153</v>
      </c>
      <c r="D64" t="s">
        <v>74</v>
      </c>
      <c r="E64" t="s">
        <v>106</v>
      </c>
      <c r="F64" t="s">
        <v>107</v>
      </c>
      <c r="G64" t="str">
        <f>MID(B64,FIND(" ",B64,1),4)</f>
        <v xml:space="preserve"> G9 </v>
      </c>
      <c r="H64" s="1" t="str">
        <f>IFERROR(LEFT(J64,FIND(" og ",J64,1)),J64)</f>
        <v xml:space="preserve">Ulrik Kjærgaard </v>
      </c>
      <c r="I64" s="1" t="str">
        <f>IFERROR(RIGHT(J64,LEN(J64) - FIND(" og ",J64,1) - 3),"")</f>
        <v>Hoanh Vinh</v>
      </c>
      <c r="J64" s="80" t="s">
        <v>182</v>
      </c>
    </row>
    <row r="65" spans="1:10">
      <c r="A65" s="51">
        <v>0.64583333333333337</v>
      </c>
      <c r="B65" t="s">
        <v>99</v>
      </c>
      <c r="C65" s="36" t="s">
        <v>156</v>
      </c>
      <c r="D65" t="s">
        <v>74</v>
      </c>
      <c r="E65" t="s">
        <v>109</v>
      </c>
      <c r="F65" t="s">
        <v>104</v>
      </c>
      <c r="G65" t="str">
        <f>MID(B65,FIND(" ",B65,1),4)</f>
        <v xml:space="preserve"> G9 </v>
      </c>
      <c r="H65" s="1" t="str">
        <f>IFERROR(LEFT(J65,FIND(" og ",J65,1)),J65)</f>
        <v xml:space="preserve">Ulrik Kjærgaard </v>
      </c>
      <c r="I65" s="1" t="str">
        <f>IFERROR(RIGHT(J65,LEN(J65) - FIND(" og ",J65,1) - 3),"")</f>
        <v>Hoanh Vinh</v>
      </c>
      <c r="J65" s="80" t="s">
        <v>182</v>
      </c>
    </row>
    <row r="66" spans="1:10">
      <c r="A66" s="51">
        <v>0.66319444444444442</v>
      </c>
      <c r="B66" t="s">
        <v>99</v>
      </c>
      <c r="C66" s="36" t="s">
        <v>159</v>
      </c>
      <c r="D66" t="s">
        <v>74</v>
      </c>
      <c r="E66" t="s">
        <v>101</v>
      </c>
      <c r="F66" t="s">
        <v>106</v>
      </c>
      <c r="G66" t="str">
        <f>MID(B66,FIND(" ",B66,1),4)</f>
        <v xml:space="preserve"> G9 </v>
      </c>
      <c r="H66" s="1" t="str">
        <f>IFERROR(LEFT(J66,FIND(" og ",J66,1)),J66)</f>
        <v xml:space="preserve">Ulrik Kjærgaard </v>
      </c>
      <c r="I66" s="1" t="str">
        <f>IFERROR(RIGHT(J66,LEN(J66) - FIND(" og ",J66,1) - 3),"")</f>
        <v>Hoanh Vinh</v>
      </c>
      <c r="J66" s="80" t="s">
        <v>182</v>
      </c>
    </row>
    <row r="67" spans="1:10">
      <c r="A67" s="51">
        <v>0.68055555555555547</v>
      </c>
      <c r="B67" t="s">
        <v>99</v>
      </c>
      <c r="C67" s="36" t="s">
        <v>162</v>
      </c>
      <c r="D67" t="s">
        <v>74</v>
      </c>
      <c r="E67" t="s">
        <v>102</v>
      </c>
      <c r="F67" t="s">
        <v>100</v>
      </c>
      <c r="G67" t="str">
        <f>MID(B67,FIND(" ",B67,1),4)</f>
        <v xml:space="preserve"> G9 </v>
      </c>
      <c r="H67" s="1" t="str">
        <f>IFERROR(LEFT(J67,FIND(" og ",J67,1)),J67)</f>
        <v xml:space="preserve">Ulrik Kjærgaard </v>
      </c>
      <c r="I67" s="1" t="str">
        <f>IFERROR(RIGHT(J67,LEN(J67) - FIND(" og ",J67,1) - 3),"")</f>
        <v>Hoanh Vinh</v>
      </c>
      <c r="J67" s="80" t="s">
        <v>182</v>
      </c>
    </row>
    <row r="68" spans="1:10">
      <c r="A68" s="79">
        <v>0.69791666666666663</v>
      </c>
      <c r="B68" s="1" t="s">
        <v>99</v>
      </c>
      <c r="C68" s="34" t="s">
        <v>165</v>
      </c>
      <c r="D68" s="1" t="s">
        <v>74</v>
      </c>
      <c r="E68" s="1" t="s">
        <v>104</v>
      </c>
      <c r="F68" s="1" t="s">
        <v>107</v>
      </c>
      <c r="G68" t="str">
        <f>MID(B68,FIND(" ",B68,1),4)</f>
        <v xml:space="preserve"> G9 </v>
      </c>
      <c r="H68" s="1" t="str">
        <f>IFERROR(LEFT(J68,FIND(" og ",J68,1)),J68)</f>
        <v xml:space="preserve">Ulrik Kjærgaard </v>
      </c>
      <c r="I68" s="1" t="str">
        <f>IFERROR(RIGHT(J68,LEN(J68) - FIND(" og ",J68,1) - 3),"")</f>
        <v>Hoanh Vinh</v>
      </c>
      <c r="J68" s="80" t="s">
        <v>182</v>
      </c>
    </row>
    <row r="69" spans="1:10">
      <c r="A69" s="79">
        <v>0.72569444444444453</v>
      </c>
      <c r="B69" s="1" t="s">
        <v>99</v>
      </c>
      <c r="C69" s="34" t="s">
        <v>168</v>
      </c>
      <c r="D69" s="1" t="s">
        <v>74</v>
      </c>
      <c r="E69" s="1" t="s">
        <v>100</v>
      </c>
      <c r="F69" s="1" t="s">
        <v>109</v>
      </c>
      <c r="G69" t="str">
        <f>MID(B69,FIND(" ",B69,1),4)</f>
        <v xml:space="preserve"> G9 </v>
      </c>
      <c r="H69" s="1" t="str">
        <f>IFERROR(LEFT(J69,FIND(" og ",J69,1)),J69)</f>
        <v xml:space="preserve">Ulrik Kjærgaard </v>
      </c>
      <c r="I69" s="1" t="str">
        <f>IFERROR(RIGHT(J69,LEN(J69) - FIND(" og ",J69,1) - 3),"")</f>
        <v>Hoanh Vinh</v>
      </c>
      <c r="J69" s="80" t="s">
        <v>182</v>
      </c>
    </row>
    <row r="70" spans="1:10">
      <c r="A70" s="79">
        <v>0.74305555555555547</v>
      </c>
      <c r="B70" s="1" t="s">
        <v>99</v>
      </c>
      <c r="C70" s="34" t="s">
        <v>171</v>
      </c>
      <c r="D70" s="1" t="s">
        <v>74</v>
      </c>
      <c r="E70" s="1" t="s">
        <v>106</v>
      </c>
      <c r="F70" s="1" t="s">
        <v>102</v>
      </c>
      <c r="G70" t="str">
        <f>MID(B70,FIND(" ",B70,1),4)</f>
        <v xml:space="preserve"> G9 </v>
      </c>
      <c r="H70" s="1" t="str">
        <f>IFERROR(LEFT(J70,FIND(" og ",J70,1)),J70)</f>
        <v xml:space="preserve">Ulrik Kjærgaard </v>
      </c>
      <c r="I70" s="1" t="str">
        <f>IFERROR(RIGHT(J70,LEN(J70) - FIND(" og ",J70,1) - 3),"")</f>
        <v>Hoanh Vinh</v>
      </c>
      <c r="J70" s="80" t="s">
        <v>182</v>
      </c>
    </row>
    <row r="71" spans="1:10">
      <c r="A71" s="39">
        <v>0.76041666666666663</v>
      </c>
      <c r="B71" s="1" t="s">
        <v>99</v>
      </c>
      <c r="C71" s="34" t="s">
        <v>174</v>
      </c>
      <c r="D71" s="1" t="s">
        <v>74</v>
      </c>
      <c r="E71" s="1" t="s">
        <v>101</v>
      </c>
      <c r="F71" s="1" t="s">
        <v>107</v>
      </c>
      <c r="G71" t="str">
        <f>MID(B71,FIND(" ",B71,1),4)</f>
        <v xml:space="preserve"> G9 </v>
      </c>
      <c r="H71" s="1" t="str">
        <f>IFERROR(LEFT(J71,FIND(" og ",J71,1)),J71)</f>
        <v xml:space="preserve">Ulrik Kjærgaard </v>
      </c>
      <c r="I71" s="1" t="str">
        <f>IFERROR(RIGHT(J71,LEN(J71) - FIND(" og ",J71,1) - 3),"")</f>
        <v>Hoanh Vinh</v>
      </c>
      <c r="J71" s="80" t="s">
        <v>182</v>
      </c>
    </row>
    <row r="72" spans="1:10">
      <c r="A72" s="79">
        <v>0.77777777777777779</v>
      </c>
      <c r="B72" s="1" t="s">
        <v>99</v>
      </c>
      <c r="C72" s="34" t="s">
        <v>176</v>
      </c>
      <c r="D72" s="1" t="s">
        <v>74</v>
      </c>
      <c r="E72" s="1" t="s">
        <v>102</v>
      </c>
      <c r="F72" s="1" t="s">
        <v>109</v>
      </c>
      <c r="G72" t="str">
        <f>MID(B72,FIND(" ",B72,1),4)</f>
        <v xml:space="preserve"> G9 </v>
      </c>
      <c r="H72" s="1" t="str">
        <f>IFERROR(LEFT(J72,FIND(" og ",J72,1)),J72)</f>
        <v xml:space="preserve">Ulrik Kjærgaard </v>
      </c>
      <c r="I72" s="1" t="str">
        <f>IFERROR(RIGHT(J72,LEN(J72) - FIND(" og ",J72,1) - 3),"")</f>
        <v>Hoanh Vinh</v>
      </c>
      <c r="J72" s="80" t="s">
        <v>182</v>
      </c>
    </row>
    <row r="73" spans="1:10">
      <c r="A73" s="39"/>
      <c r="G73"/>
      <c r="J73" s="52"/>
    </row>
    <row r="74" spans="1:10">
      <c r="A74" s="40"/>
      <c r="J74" s="48"/>
    </row>
    <row r="75" spans="1:10">
      <c r="A75" s="40"/>
      <c r="J75" s="48"/>
    </row>
    <row r="76" spans="1:10">
      <c r="A76" s="40"/>
      <c r="J76" s="48"/>
    </row>
    <row r="77" spans="1:10">
      <c r="A77" s="40"/>
      <c r="J77" s="48"/>
    </row>
    <row r="78" spans="1:10">
      <c r="A78" s="40"/>
    </row>
    <row r="79" spans="1:10">
      <c r="A79" s="40"/>
    </row>
    <row r="80" spans="1:10">
      <c r="A80" s="40"/>
    </row>
    <row r="81" spans="1:1">
      <c r="A81" s="40"/>
    </row>
    <row r="82" spans="1:1">
      <c r="A82" s="40"/>
    </row>
    <row r="83" spans="1:1">
      <c r="A83" s="40"/>
    </row>
    <row r="84" spans="1:1">
      <c r="A84" s="40"/>
    </row>
    <row r="85" spans="1:1">
      <c r="A85" s="40"/>
    </row>
    <row r="86" spans="1:1">
      <c r="A86" s="40"/>
    </row>
    <row r="87" spans="1:1">
      <c r="A87" s="40"/>
    </row>
    <row r="88" spans="1:1">
      <c r="A88" s="40"/>
    </row>
    <row r="89" spans="1:1">
      <c r="A89" s="40"/>
    </row>
    <row r="90" spans="1:1">
      <c r="A90" s="40"/>
    </row>
    <row r="91" spans="1:1">
      <c r="A91" s="40"/>
    </row>
    <row r="92" spans="1:1">
      <c r="A92" s="40"/>
    </row>
    <row r="93" spans="1:1">
      <c r="A93" s="40"/>
    </row>
    <row r="94" spans="1:1">
      <c r="A94" s="40"/>
    </row>
    <row r="95" spans="1:1">
      <c r="A95" s="40"/>
    </row>
    <row r="96" spans="1:1">
      <c r="A96" s="40"/>
    </row>
    <row r="97" spans="1:1">
      <c r="A97" s="40"/>
    </row>
    <row r="98" spans="1:1">
      <c r="A98" s="40"/>
    </row>
    <row r="99" spans="1:1">
      <c r="A99" s="40"/>
    </row>
    <row r="100" spans="1:1">
      <c r="A100" s="40"/>
    </row>
  </sheetData>
  <sortState ref="A6:J72">
    <sortCondition ref="J6:J72"/>
    <sortCondition ref="A6:A72"/>
  </sortState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erBanedagbok">
                <anchor moveWithCells="1" sizeWithCells="1">
                  <from>
                    <xdr:col>9</xdr:col>
                    <xdr:colOff>1419225</xdr:colOff>
                    <xdr:row>0</xdr:row>
                    <xdr:rowOff>123825</xdr:rowOff>
                  </from>
                  <to>
                    <xdr:col>10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heets">
                <anchor moveWithCells="1" sizeWithCells="1">
                  <from>
                    <xdr:col>9</xdr:col>
                    <xdr:colOff>1409700</xdr:colOff>
                    <xdr:row>2</xdr:row>
                    <xdr:rowOff>28575</xdr:rowOff>
                  </from>
                  <to>
                    <xdr:col>10</xdr:col>
                    <xdr:colOff>19050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pdaterKlasse">
                <anchor moveWithCells="1" sizeWithCells="1">
                  <from>
                    <xdr:col>6</xdr:col>
                    <xdr:colOff>0</xdr:colOff>
                    <xdr:row>2</xdr:row>
                    <xdr:rowOff>38100</xdr:rowOff>
                  </from>
                  <to>
                    <xdr:col>6</xdr:col>
                    <xdr:colOff>1047750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plittDommerpar">
                <anchor moveWithCells="1" sizeWithCells="1">
                  <from>
                    <xdr:col>7</xdr:col>
                    <xdr:colOff>209550</xdr:colOff>
                    <xdr:row>2</xdr:row>
                    <xdr:rowOff>38100</xdr:rowOff>
                  </from>
                  <to>
                    <xdr:col>7</xdr:col>
                    <xdr:colOff>1990725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orterPaaBane">
                <anchor moveWithCells="1" sizeWithCells="1">
                  <from>
                    <xdr:col>7</xdr:col>
                    <xdr:colOff>171450</xdr:colOff>
                    <xdr:row>0</xdr:row>
                    <xdr:rowOff>95250</xdr:rowOff>
                  </from>
                  <to>
                    <xdr:col>7</xdr:col>
                    <xdr:colOff>2000250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Banedagbok1">
                <anchor moveWithCells="1" sizeWithCells="1">
                  <from>
                    <xdr:col>8</xdr:col>
                    <xdr:colOff>47625</xdr:colOff>
                    <xdr:row>0</xdr:row>
                    <xdr:rowOff>76200</xdr:rowOff>
                  </from>
                  <to>
                    <xdr:col>8</xdr:col>
                    <xdr:colOff>1438275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[0]!Kamprapporter">
                <anchor moveWithCells="1" sizeWithCells="1">
                  <from>
                    <xdr:col>8</xdr:col>
                    <xdr:colOff>47625</xdr:colOff>
                    <xdr:row>2</xdr:row>
                    <xdr:rowOff>0</xdr:rowOff>
                  </from>
                  <to>
                    <xdr:col>8</xdr:col>
                    <xdr:colOff>1438275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Button 10">
              <controlPr defaultSize="0" print="0" autoFill="0" autoPict="0" macro="[0]!GenererDommerRegninger">
                <anchor moveWithCells="1" sizeWithCells="1">
                  <from>
                    <xdr:col>8</xdr:col>
                    <xdr:colOff>1524000</xdr:colOff>
                    <xdr:row>0</xdr:row>
                    <xdr:rowOff>76200</xdr:rowOff>
                  </from>
                  <to>
                    <xdr:col>9</xdr:col>
                    <xdr:colOff>1143000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Button 11">
              <controlPr defaultSize="0" print="0" autoFill="0" autoPict="0" macro="[0]!GenererDeltakerlister">
                <anchor moveWithCells="1" sizeWithCells="1">
                  <from>
                    <xdr:col>8</xdr:col>
                    <xdr:colOff>1581150</xdr:colOff>
                    <xdr:row>2</xdr:row>
                    <xdr:rowOff>0</xdr:rowOff>
                  </from>
                  <to>
                    <xdr:col>9</xdr:col>
                    <xdr:colOff>1152525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67"/>
  <sheetViews>
    <sheetView topLeftCell="A40" workbookViewId="0">
      <selection activeCell="A76" sqref="A76"/>
    </sheetView>
  </sheetViews>
  <sheetFormatPr baseColWidth="10" defaultColWidth="9.140625" defaultRowHeight="15"/>
  <cols>
    <col min="1" max="1" width="40.42578125" customWidth="1"/>
  </cols>
  <sheetData>
    <row r="1" spans="1:1">
      <c r="A1" s="80" t="s">
        <v>46</v>
      </c>
    </row>
    <row r="2" spans="1:1">
      <c r="A2" s="80" t="s">
        <v>177</v>
      </c>
    </row>
    <row r="3" spans="1:1">
      <c r="A3" s="80" t="s">
        <v>177</v>
      </c>
    </row>
    <row r="4" spans="1:1">
      <c r="A4" s="80" t="s">
        <v>177</v>
      </c>
    </row>
    <row r="5" spans="1:1">
      <c r="A5" s="80" t="s">
        <v>177</v>
      </c>
    </row>
    <row r="6" spans="1:1">
      <c r="A6" s="80" t="s">
        <v>177</v>
      </c>
    </row>
    <row r="7" spans="1:1">
      <c r="A7" s="80" t="s">
        <v>177</v>
      </c>
    </row>
    <row r="8" spans="1:1">
      <c r="A8" s="80" t="s">
        <v>177</v>
      </c>
    </row>
    <row r="9" spans="1:1">
      <c r="A9" s="80" t="s">
        <v>177</v>
      </c>
    </row>
    <row r="10" spans="1:1">
      <c r="A10" s="80" t="s">
        <v>38</v>
      </c>
    </row>
    <row r="11" spans="1:1">
      <c r="A11" s="80" t="s">
        <v>181</v>
      </c>
    </row>
    <row r="12" spans="1:1">
      <c r="A12" s="80" t="s">
        <v>181</v>
      </c>
    </row>
    <row r="13" spans="1:1">
      <c r="A13" s="80" t="s">
        <v>181</v>
      </c>
    </row>
    <row r="14" spans="1:1">
      <c r="A14" s="80" t="s">
        <v>181</v>
      </c>
    </row>
    <row r="15" spans="1:1">
      <c r="A15" s="80" t="s">
        <v>181</v>
      </c>
    </row>
    <row r="16" spans="1:1">
      <c r="A16" s="80" t="s">
        <v>181</v>
      </c>
    </row>
    <row r="17" spans="1:1">
      <c r="A17" s="80" t="s">
        <v>180</v>
      </c>
    </row>
    <row r="18" spans="1:1">
      <c r="A18" s="80" t="s">
        <v>180</v>
      </c>
    </row>
    <row r="19" spans="1:1">
      <c r="A19" s="80" t="s">
        <v>180</v>
      </c>
    </row>
    <row r="20" spans="1:1">
      <c r="A20" s="80" t="s">
        <v>180</v>
      </c>
    </row>
    <row r="21" spans="1:1">
      <c r="A21" s="80" t="s">
        <v>180</v>
      </c>
    </row>
    <row r="22" spans="1:1">
      <c r="A22" s="80" t="s">
        <v>180</v>
      </c>
    </row>
    <row r="23" spans="1:1">
      <c r="A23" s="80" t="s">
        <v>180</v>
      </c>
    </row>
    <row r="24" spans="1:1">
      <c r="A24" s="80" t="s">
        <v>180</v>
      </c>
    </row>
    <row r="25" spans="1:1">
      <c r="A25" s="80" t="s">
        <v>186</v>
      </c>
    </row>
    <row r="26" spans="1:1">
      <c r="A26" s="80" t="s">
        <v>186</v>
      </c>
    </row>
    <row r="27" spans="1:1">
      <c r="A27" s="80" t="s">
        <v>186</v>
      </c>
    </row>
    <row r="28" spans="1:1">
      <c r="A28" s="80" t="s">
        <v>186</v>
      </c>
    </row>
    <row r="29" spans="1:1">
      <c r="A29" s="80" t="s">
        <v>186</v>
      </c>
    </row>
    <row r="30" spans="1:1">
      <c r="A30" s="80" t="s">
        <v>186</v>
      </c>
    </row>
    <row r="31" spans="1:1">
      <c r="A31" s="80" t="s">
        <v>183</v>
      </c>
    </row>
    <row r="32" spans="1:1">
      <c r="A32" s="80" t="s">
        <v>183</v>
      </c>
    </row>
    <row r="33" spans="1:1">
      <c r="A33" s="80" t="s">
        <v>183</v>
      </c>
    </row>
    <row r="34" spans="1:1">
      <c r="A34" s="80" t="s">
        <v>183</v>
      </c>
    </row>
    <row r="35" spans="1:1">
      <c r="A35" s="80" t="s">
        <v>183</v>
      </c>
    </row>
    <row r="36" spans="1:1">
      <c r="A36" s="80" t="s">
        <v>183</v>
      </c>
    </row>
    <row r="37" spans="1:1">
      <c r="A37" s="80" t="s">
        <v>183</v>
      </c>
    </row>
    <row r="38" spans="1:1">
      <c r="A38" s="80" t="s">
        <v>183</v>
      </c>
    </row>
    <row r="39" spans="1:1">
      <c r="A39" s="80" t="s">
        <v>183</v>
      </c>
    </row>
    <row r="40" spans="1:1">
      <c r="A40" s="80" t="s">
        <v>183</v>
      </c>
    </row>
    <row r="41" spans="1:1">
      <c r="A41" s="80" t="s">
        <v>183</v>
      </c>
    </row>
    <row r="42" spans="1:1">
      <c r="A42" s="80" t="s">
        <v>179</v>
      </c>
    </row>
    <row r="43" spans="1:1">
      <c r="A43" s="80" t="s">
        <v>188</v>
      </c>
    </row>
    <row r="44" spans="1:1">
      <c r="A44" s="80" t="s">
        <v>188</v>
      </c>
    </row>
    <row r="45" spans="1:1">
      <c r="A45" s="80" t="s">
        <v>188</v>
      </c>
    </row>
    <row r="46" spans="1:1">
      <c r="A46" s="80" t="s">
        <v>188</v>
      </c>
    </row>
    <row r="47" spans="1:1">
      <c r="A47" s="80" t="s">
        <v>188</v>
      </c>
    </row>
    <row r="48" spans="1:1">
      <c r="A48" s="80" t="s">
        <v>184</v>
      </c>
    </row>
    <row r="49" spans="1:1">
      <c r="A49" s="80" t="s">
        <v>178</v>
      </c>
    </row>
    <row r="50" spans="1:1">
      <c r="A50" s="80" t="s">
        <v>187</v>
      </c>
    </row>
    <row r="51" spans="1:1">
      <c r="A51" s="80" t="s">
        <v>187</v>
      </c>
    </row>
    <row r="52" spans="1:1">
      <c r="A52" s="80" t="s">
        <v>187</v>
      </c>
    </row>
    <row r="53" spans="1:1">
      <c r="A53" s="80" t="s">
        <v>187</v>
      </c>
    </row>
    <row r="54" spans="1:1">
      <c r="A54" s="80" t="s">
        <v>187</v>
      </c>
    </row>
    <row r="55" spans="1:1">
      <c r="A55" s="80" t="s">
        <v>187</v>
      </c>
    </row>
    <row r="56" spans="1:1">
      <c r="A56" s="80" t="s">
        <v>185</v>
      </c>
    </row>
    <row r="57" spans="1:1">
      <c r="A57" s="80" t="s">
        <v>182</v>
      </c>
    </row>
    <row r="58" spans="1:1">
      <c r="A58" s="80" t="s">
        <v>182</v>
      </c>
    </row>
    <row r="59" spans="1:1">
      <c r="A59" s="80" t="s">
        <v>182</v>
      </c>
    </row>
    <row r="60" spans="1:1">
      <c r="A60" s="80" t="s">
        <v>182</v>
      </c>
    </row>
    <row r="61" spans="1:1">
      <c r="A61" s="80" t="s">
        <v>182</v>
      </c>
    </row>
    <row r="62" spans="1:1">
      <c r="A62" s="80" t="s">
        <v>182</v>
      </c>
    </row>
    <row r="63" spans="1:1">
      <c r="A63" s="80" t="s">
        <v>182</v>
      </c>
    </row>
    <row r="64" spans="1:1">
      <c r="A64" s="80" t="s">
        <v>182</v>
      </c>
    </row>
    <row r="65" spans="1:1">
      <c r="A65" s="80" t="s">
        <v>182</v>
      </c>
    </row>
    <row r="66" spans="1:1">
      <c r="A66" s="80" t="s">
        <v>182</v>
      </c>
    </row>
    <row r="67" spans="1:1">
      <c r="A67" s="80" t="s">
        <v>182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I23"/>
  <sheetViews>
    <sheetView workbookViewId="0">
      <selection activeCell="C13" sqref="C13"/>
    </sheetView>
  </sheetViews>
  <sheetFormatPr baseColWidth="10" defaultColWidth="9.140625" defaultRowHeight="1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>
      <c r="A1" s="82" t="s">
        <v>11</v>
      </c>
      <c r="B1" s="82"/>
      <c r="C1" s="82"/>
      <c r="D1" s="82"/>
      <c r="E1" s="82"/>
      <c r="F1" s="82"/>
      <c r="G1" s="82"/>
      <c r="H1" s="82"/>
      <c r="I1" s="82"/>
    </row>
    <row r="2" spans="1:9" ht="9" customHeight="1">
      <c r="A2" s="5"/>
      <c r="B2" s="6"/>
      <c r="C2" s="6"/>
      <c r="D2" s="6"/>
      <c r="E2" s="6"/>
      <c r="F2" s="6"/>
      <c r="G2" s="6"/>
      <c r="H2" s="6"/>
      <c r="I2" s="6"/>
    </row>
    <row r="3" spans="1:9" ht="18.75">
      <c r="A3" s="7" t="s">
        <v>22</v>
      </c>
      <c r="B3" s="8"/>
      <c r="C3" s="8" t="s">
        <v>19</v>
      </c>
      <c r="D3" s="8"/>
      <c r="E3" s="8" t="s">
        <v>20</v>
      </c>
      <c r="F3" s="9"/>
      <c r="G3" s="9"/>
      <c r="H3" s="8" t="s">
        <v>21</v>
      </c>
      <c r="I3" s="10"/>
    </row>
    <row r="4" spans="1:9" ht="11.25" customHeight="1" thickBot="1">
      <c r="A4" s="5"/>
      <c r="B4" s="6"/>
      <c r="C4" s="6"/>
      <c r="D4" s="6"/>
      <c r="E4" s="6"/>
      <c r="F4" s="6"/>
      <c r="G4" s="6"/>
      <c r="H4" s="6"/>
      <c r="I4" s="6"/>
    </row>
    <row r="5" spans="1:9" ht="16.5" thickBot="1">
      <c r="A5" s="11" t="s">
        <v>0</v>
      </c>
      <c r="B5" s="12" t="s">
        <v>4</v>
      </c>
      <c r="C5" s="13" t="s">
        <v>5</v>
      </c>
      <c r="D5" s="14" t="s">
        <v>12</v>
      </c>
      <c r="E5" s="15" t="s">
        <v>13</v>
      </c>
      <c r="F5" s="12" t="s">
        <v>14</v>
      </c>
      <c r="G5" s="13" t="s">
        <v>14</v>
      </c>
      <c r="H5" s="14" t="s">
        <v>6</v>
      </c>
      <c r="I5" s="13" t="s">
        <v>7</v>
      </c>
    </row>
    <row r="6" spans="1:9" ht="33" customHeight="1">
      <c r="A6" s="16"/>
      <c r="B6" s="17"/>
      <c r="C6" s="18"/>
      <c r="D6" s="19"/>
      <c r="E6" s="20"/>
      <c r="F6" s="17"/>
      <c r="G6" s="18"/>
      <c r="H6" s="19"/>
      <c r="I6" s="18"/>
    </row>
    <row r="7" spans="1:9" ht="33" customHeight="1">
      <c r="A7" s="21"/>
      <c r="B7" s="22"/>
      <c r="C7" s="23"/>
      <c r="D7" s="24"/>
      <c r="E7" s="25"/>
      <c r="F7" s="22"/>
      <c r="G7" s="23"/>
      <c r="H7" s="24"/>
      <c r="I7" s="23"/>
    </row>
    <row r="8" spans="1:9" ht="33" customHeight="1">
      <c r="A8" s="21"/>
      <c r="B8" s="22"/>
      <c r="C8" s="23"/>
      <c r="D8" s="24"/>
      <c r="E8" s="25"/>
      <c r="F8" s="22"/>
      <c r="G8" s="23"/>
      <c r="H8" s="24"/>
      <c r="I8" s="23"/>
    </row>
    <row r="9" spans="1:9" ht="33" customHeight="1">
      <c r="A9" s="21"/>
      <c r="B9" s="22"/>
      <c r="C9" s="23"/>
      <c r="D9" s="24"/>
      <c r="E9" s="25"/>
      <c r="F9" s="22"/>
      <c r="G9" s="23"/>
      <c r="H9" s="24"/>
      <c r="I9" s="23"/>
    </row>
    <row r="10" spans="1:9" ht="33" customHeight="1">
      <c r="A10" s="21"/>
      <c r="B10" s="22"/>
      <c r="C10" s="23"/>
      <c r="D10" s="24"/>
      <c r="E10" s="25"/>
      <c r="F10" s="22"/>
      <c r="G10" s="23"/>
      <c r="H10" s="24"/>
      <c r="I10" s="23"/>
    </row>
    <row r="11" spans="1:9" ht="33" customHeight="1">
      <c r="A11" s="21"/>
      <c r="B11" s="22"/>
      <c r="C11" s="23"/>
      <c r="D11" s="24"/>
      <c r="E11" s="25"/>
      <c r="F11" s="22"/>
      <c r="G11" s="23"/>
      <c r="H11" s="24"/>
      <c r="I11" s="23"/>
    </row>
    <row r="12" spans="1:9" ht="33" customHeight="1">
      <c r="A12" s="21"/>
      <c r="B12" s="22"/>
      <c r="C12" s="23"/>
      <c r="D12" s="24"/>
      <c r="E12" s="25"/>
      <c r="F12" s="22"/>
      <c r="G12" s="23"/>
      <c r="H12" s="24"/>
      <c r="I12" s="23"/>
    </row>
    <row r="13" spans="1:9" ht="33" customHeight="1">
      <c r="A13" s="21"/>
      <c r="B13" s="22"/>
      <c r="C13" s="23"/>
      <c r="D13" s="24"/>
      <c r="E13" s="25"/>
      <c r="F13" s="22"/>
      <c r="G13" s="23"/>
      <c r="H13" s="24"/>
      <c r="I13" s="23"/>
    </row>
    <row r="14" spans="1:9" ht="33" customHeight="1">
      <c r="A14" s="21"/>
      <c r="B14" s="22"/>
      <c r="C14" s="23"/>
      <c r="D14" s="24"/>
      <c r="E14" s="25"/>
      <c r="F14" s="22"/>
      <c r="G14" s="23"/>
      <c r="H14" s="24"/>
      <c r="I14" s="23"/>
    </row>
    <row r="15" spans="1:9" ht="33" customHeight="1">
      <c r="A15" s="21"/>
      <c r="B15" s="22"/>
      <c r="C15" s="23"/>
      <c r="D15" s="24"/>
      <c r="E15" s="25"/>
      <c r="F15" s="22"/>
      <c r="G15" s="23"/>
      <c r="H15" s="24"/>
      <c r="I15" s="23"/>
    </row>
    <row r="16" spans="1:9" ht="33" customHeight="1">
      <c r="A16" s="21"/>
      <c r="B16" s="22"/>
      <c r="C16" s="23"/>
      <c r="D16" s="24"/>
      <c r="E16" s="25"/>
      <c r="F16" s="22"/>
      <c r="G16" s="23"/>
      <c r="H16" s="24"/>
      <c r="I16" s="23"/>
    </row>
    <row r="17" spans="1:9" ht="33" customHeight="1">
      <c r="A17" s="21"/>
      <c r="B17" s="22"/>
      <c r="C17" s="23"/>
      <c r="D17" s="24"/>
      <c r="E17" s="25"/>
      <c r="F17" s="22"/>
      <c r="G17" s="23"/>
      <c r="H17" s="24"/>
      <c r="I17" s="23"/>
    </row>
    <row r="18" spans="1:9" ht="33" customHeight="1">
      <c r="A18" s="21"/>
      <c r="B18" s="22"/>
      <c r="C18" s="23"/>
      <c r="D18" s="24"/>
      <c r="E18" s="25"/>
      <c r="F18" s="22"/>
      <c r="G18" s="23"/>
      <c r="H18" s="24"/>
      <c r="I18" s="23"/>
    </row>
    <row r="19" spans="1:9" ht="33" customHeight="1">
      <c r="A19" s="21"/>
      <c r="B19" s="22"/>
      <c r="C19" s="23"/>
      <c r="D19" s="24"/>
      <c r="E19" s="25"/>
      <c r="F19" s="22"/>
      <c r="G19" s="23"/>
      <c r="H19" s="24"/>
      <c r="I19" s="23"/>
    </row>
    <row r="20" spans="1:9" ht="33" customHeight="1" thickBot="1">
      <c r="A20" s="26"/>
      <c r="B20" s="27"/>
      <c r="C20" s="28"/>
      <c r="D20" s="29"/>
      <c r="E20" s="30"/>
      <c r="F20" s="27"/>
      <c r="G20" s="28"/>
      <c r="H20" s="29"/>
      <c r="I20" s="28"/>
    </row>
    <row r="21" spans="1:9">
      <c r="A21" s="5"/>
      <c r="B21" s="6"/>
      <c r="C21" s="6"/>
      <c r="D21" s="6"/>
      <c r="E21" s="6"/>
      <c r="F21" s="6"/>
      <c r="G21" s="6"/>
      <c r="H21" s="6"/>
      <c r="I21" s="6"/>
    </row>
    <row r="22" spans="1:9" ht="18.75">
      <c r="A22" s="83" t="s">
        <v>15</v>
      </c>
      <c r="B22" s="83"/>
      <c r="C22" s="83"/>
      <c r="D22" s="83"/>
      <c r="E22" s="31"/>
      <c r="F22" s="31"/>
      <c r="G22" s="31"/>
      <c r="H22" s="31"/>
      <c r="I22" s="31"/>
    </row>
    <row r="23" spans="1:9">
      <c r="A23" s="5"/>
      <c r="B23" s="6"/>
      <c r="C23" s="6"/>
      <c r="D23" s="6"/>
      <c r="E23" s="6"/>
      <c r="F23" s="6"/>
      <c r="G23" s="6"/>
      <c r="H23" s="6"/>
      <c r="I23" s="6"/>
    </row>
  </sheetData>
  <sheetProtection algorithmName="SHA-512" hashValue="oyE5m6FB4BjgnJ4mdG1Xwu4/OUKoho6AHtgoqdv1uait4+bSQekIYZHhskg2Ox6lw91NjbSrl1+LzVeoCvig9A==" saltValue="Go30m7JhRInuFQBmRNBGtw==" spinCount="100000" sheet="1" objects="1" scenarios="1"/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3"/>
  <dimension ref="A1:I33"/>
  <sheetViews>
    <sheetView view="pageLayout" zoomScaleNormal="100" workbookViewId="0">
      <selection activeCell="B11" sqref="B11"/>
    </sheetView>
  </sheetViews>
  <sheetFormatPr baseColWidth="10" defaultColWidth="9.140625" defaultRowHeight="15"/>
  <cols>
    <col min="1" max="1" width="11" customWidth="1"/>
    <col min="5" max="5" width="3.7109375" customWidth="1"/>
    <col min="7" max="7" width="12.5703125" customWidth="1"/>
    <col min="8" max="8" width="13.7109375" customWidth="1"/>
  </cols>
  <sheetData>
    <row r="1" spans="1:9" ht="60.6" customHeight="1"/>
    <row r="2" spans="1:9" ht="27" customHeight="1"/>
    <row r="3" spans="1:9" ht="53.25" customHeight="1">
      <c r="A3" s="86" t="str">
        <f>UPPER("Kvittering for betaling av dommere i BARNEHÅNDBALLturneringer")</f>
        <v>KVITTERING FOR BETALING AV DOMMERE I BARNEHÅNDBALLTURNERINGER</v>
      </c>
      <c r="B3" s="86"/>
      <c r="C3" s="86"/>
      <c r="D3" s="86"/>
      <c r="E3" s="86"/>
      <c r="F3" s="86"/>
      <c r="G3" s="86"/>
      <c r="H3" s="86"/>
      <c r="I3" s="86"/>
    </row>
    <row r="4" spans="1:9" ht="7.5" customHeight="1"/>
    <row r="5" spans="1:9" ht="22.5">
      <c r="A5" s="54" t="s">
        <v>189</v>
      </c>
      <c r="B5" s="87"/>
      <c r="C5" s="87"/>
      <c r="D5" s="87"/>
      <c r="E5" s="87"/>
      <c r="F5" s="87"/>
      <c r="G5" s="87"/>
      <c r="H5" s="87"/>
    </row>
    <row r="8" spans="1:9" ht="22.5">
      <c r="A8" s="54" t="s">
        <v>190</v>
      </c>
      <c r="B8" s="87"/>
      <c r="C8" s="87"/>
      <c r="D8" s="87"/>
    </row>
    <row r="10" spans="1:9" ht="22.5">
      <c r="A10" s="54" t="s">
        <v>191</v>
      </c>
      <c r="B10" s="87"/>
      <c r="C10" s="87"/>
      <c r="D10" s="87"/>
      <c r="E10" s="87"/>
      <c r="F10" s="87"/>
      <c r="G10" s="87"/>
      <c r="H10" s="87"/>
    </row>
    <row r="12" spans="1:9" ht="51" customHeight="1"/>
    <row r="13" spans="1:9" ht="22.5">
      <c r="A13" s="54" t="s">
        <v>192</v>
      </c>
      <c r="F13" s="60"/>
      <c r="G13" s="56" t="s">
        <v>198</v>
      </c>
      <c r="H13" s="59"/>
    </row>
    <row r="14" spans="1:9" ht="14.25" customHeight="1">
      <c r="A14" s="54"/>
      <c r="F14" s="58"/>
      <c r="G14" s="56"/>
      <c r="H14" s="58"/>
    </row>
    <row r="16" spans="1:9" ht="22.5">
      <c r="A16" s="54" t="s">
        <v>193</v>
      </c>
      <c r="F16" s="60"/>
      <c r="G16" s="56" t="s">
        <v>198</v>
      </c>
      <c r="H16" s="59"/>
    </row>
    <row r="17" spans="1:8" ht="14.25" customHeight="1">
      <c r="A17" s="54"/>
      <c r="F17" s="58"/>
      <c r="G17" s="56"/>
      <c r="H17" s="58"/>
    </row>
    <row r="19" spans="1:8" ht="22.5">
      <c r="A19" s="54" t="s">
        <v>194</v>
      </c>
      <c r="G19" s="56" t="s">
        <v>195</v>
      </c>
      <c r="H19" s="59"/>
    </row>
    <row r="21" spans="1:8" ht="31.5" customHeight="1"/>
    <row r="27" spans="1:8" ht="17.25">
      <c r="A27" s="88"/>
      <c r="B27" s="88"/>
      <c r="D27" s="90"/>
      <c r="E27" s="90"/>
    </row>
    <row r="28" spans="1:8" ht="18">
      <c r="A28" s="84" t="s">
        <v>196</v>
      </c>
      <c r="B28" s="84"/>
      <c r="C28" s="57"/>
      <c r="D28" s="89" t="s">
        <v>9</v>
      </c>
      <c r="E28" s="89"/>
    </row>
    <row r="33" spans="1:5" ht="18">
      <c r="A33" s="85" t="s">
        <v>197</v>
      </c>
      <c r="B33" s="85"/>
      <c r="C33" s="85"/>
      <c r="D33" s="85"/>
      <c r="E33" s="85"/>
    </row>
  </sheetData>
  <sheetProtection algorithmName="SHA-512" hashValue="9HdiZ9D3w6gb9MB2jISp9r+SEtOp4UTdJov+b6Iz7nGj6hWkIWbFSXsLdLfhnDifUxnFStJbdXL1OitRivxlJg==" saltValue="eEFkEAAlIFglZ/94tuASyg==" spinCount="100000" sheet="1" objects="1" scenarios="1"/>
  <mergeCells count="9">
    <mergeCell ref="A28:B28"/>
    <mergeCell ref="A33:E33"/>
    <mergeCell ref="A3:I3"/>
    <mergeCell ref="B5:H5"/>
    <mergeCell ref="B8:D8"/>
    <mergeCell ref="B10:H10"/>
    <mergeCell ref="A27:B27"/>
    <mergeCell ref="D28:E28"/>
    <mergeCell ref="D27:E27"/>
  </mergeCells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/>
  <dimension ref="A1:J42"/>
  <sheetViews>
    <sheetView view="pageLayout" zoomScaleNormal="100" workbookViewId="0">
      <selection activeCell="B5" sqref="B5:F5"/>
    </sheetView>
  </sheetViews>
  <sheetFormatPr baseColWidth="10" defaultColWidth="9.140625" defaultRowHeight="15"/>
  <cols>
    <col min="1" max="1" width="11" customWidth="1"/>
    <col min="5" max="5" width="3.7109375" customWidth="1"/>
    <col min="6" max="6" width="6.7109375" customWidth="1"/>
    <col min="7" max="7" width="1.42578125" customWidth="1"/>
    <col min="8" max="8" width="9.140625" customWidth="1"/>
    <col min="9" max="10" width="13.7109375" customWidth="1"/>
  </cols>
  <sheetData>
    <row r="1" spans="1:10" ht="60.6" customHeight="1">
      <c r="I1" s="94" t="s">
        <v>200</v>
      </c>
      <c r="J1" s="94"/>
    </row>
    <row r="2" spans="1:10" ht="27" customHeight="1">
      <c r="I2" s="94"/>
      <c r="J2" s="94"/>
    </row>
    <row r="3" spans="1:10" ht="18" customHeight="1">
      <c r="A3" s="61" t="s">
        <v>201</v>
      </c>
      <c r="B3" s="53"/>
      <c r="C3" s="53"/>
      <c r="D3" s="53"/>
      <c r="E3" s="53"/>
      <c r="F3" s="53"/>
      <c r="G3" s="53"/>
      <c r="H3" s="53"/>
      <c r="I3" s="94"/>
      <c r="J3" s="94"/>
    </row>
    <row r="4" spans="1:10" ht="14.25" customHeight="1"/>
    <row r="5" spans="1:10" ht="15.75" customHeight="1">
      <c r="A5" s="74" t="s">
        <v>191</v>
      </c>
      <c r="B5" s="95"/>
      <c r="C5" s="95"/>
      <c r="D5" s="95"/>
      <c r="E5" s="95"/>
      <c r="F5" s="95"/>
      <c r="G5" s="68"/>
      <c r="H5" s="74" t="s">
        <v>190</v>
      </c>
      <c r="I5" s="96"/>
      <c r="J5" s="96"/>
    </row>
    <row r="6" spans="1:10" ht="18" customHeight="1">
      <c r="A6" s="69" t="s">
        <v>202</v>
      </c>
      <c r="B6" s="58"/>
      <c r="C6" s="58"/>
      <c r="D6" s="58"/>
      <c r="E6" s="58"/>
      <c r="F6" s="58"/>
      <c r="G6" s="58"/>
      <c r="H6" s="58"/>
      <c r="I6" s="58"/>
      <c r="J6" s="58"/>
    </row>
    <row r="7" spans="1:10">
      <c r="A7" s="58"/>
      <c r="B7" s="58"/>
      <c r="C7" s="58"/>
      <c r="D7" s="58"/>
      <c r="E7" s="58"/>
      <c r="F7" s="58"/>
      <c r="G7" s="58"/>
      <c r="H7" s="58"/>
      <c r="I7" s="58"/>
      <c r="J7" s="58"/>
    </row>
    <row r="8" spans="1:10" ht="16.5" customHeight="1">
      <c r="A8" s="74" t="s">
        <v>203</v>
      </c>
      <c r="B8" s="96"/>
      <c r="C8" s="96"/>
      <c r="D8" s="96"/>
      <c r="E8" s="96"/>
      <c r="F8" s="96"/>
      <c r="G8" s="58"/>
      <c r="H8" s="97" t="s">
        <v>204</v>
      </c>
      <c r="I8" s="97"/>
      <c r="J8" s="55"/>
    </row>
    <row r="9" spans="1:10" ht="11.25" customHeight="1">
      <c r="A9" s="58"/>
      <c r="B9" s="58"/>
      <c r="C9" s="58"/>
      <c r="D9" s="58"/>
      <c r="E9" s="58"/>
      <c r="F9" s="58"/>
      <c r="G9" s="58"/>
      <c r="H9" s="58"/>
      <c r="I9" s="58"/>
      <c r="J9" s="58"/>
    </row>
    <row r="10" spans="1:10" ht="17.25" customHeight="1">
      <c r="A10" s="74" t="s">
        <v>205</v>
      </c>
      <c r="B10" s="62"/>
      <c r="C10" s="62"/>
      <c r="D10" s="62"/>
      <c r="E10" s="62"/>
      <c r="F10" s="62"/>
      <c r="G10" s="64"/>
      <c r="H10" s="74" t="s">
        <v>206</v>
      </c>
      <c r="I10" s="62"/>
      <c r="J10" s="55"/>
    </row>
    <row r="11" spans="1:10" ht="11.25" customHeight="1">
      <c r="A11" s="58"/>
      <c r="B11" s="58"/>
      <c r="C11" s="58"/>
      <c r="D11" s="58"/>
      <c r="E11" s="58"/>
      <c r="F11" s="58"/>
      <c r="G11" s="58"/>
      <c r="H11" s="58"/>
      <c r="I11" s="58"/>
      <c r="J11" s="58"/>
    </row>
    <row r="12" spans="1:10" ht="15.75" customHeight="1">
      <c r="A12" s="74" t="s">
        <v>207</v>
      </c>
      <c r="B12" s="55"/>
      <c r="C12" s="55"/>
      <c r="D12" s="55"/>
      <c r="E12" s="55"/>
      <c r="F12" s="55"/>
      <c r="G12" s="55"/>
      <c r="H12" s="55"/>
      <c r="I12" s="55"/>
      <c r="J12" s="55"/>
    </row>
    <row r="13" spans="1:10" ht="19.5" customHeight="1">
      <c r="A13" s="63"/>
      <c r="B13" s="58"/>
      <c r="C13" s="58"/>
      <c r="D13" s="58"/>
      <c r="E13" s="58"/>
      <c r="F13" s="65"/>
      <c r="G13" s="65"/>
      <c r="H13" s="66"/>
      <c r="I13" s="66"/>
      <c r="J13" s="58"/>
    </row>
    <row r="14" spans="1:10" ht="15.75" customHeight="1">
      <c r="A14" s="70" t="s">
        <v>208</v>
      </c>
      <c r="B14" s="58"/>
      <c r="C14" s="58"/>
      <c r="D14" s="58"/>
      <c r="E14" s="58"/>
      <c r="F14" s="58"/>
      <c r="G14" s="58"/>
      <c r="H14" s="66"/>
      <c r="I14" s="58"/>
      <c r="J14" s="58"/>
    </row>
    <row r="15" spans="1:10">
      <c r="A15" s="58"/>
      <c r="B15" s="58"/>
      <c r="C15" s="58"/>
      <c r="D15" s="58"/>
      <c r="E15" s="58"/>
      <c r="F15" s="58"/>
      <c r="G15" s="58"/>
      <c r="H15" s="58"/>
      <c r="I15" s="58"/>
      <c r="J15" s="58"/>
    </row>
    <row r="16" spans="1:10" ht="17.100000000000001" customHeight="1">
      <c r="A16" s="71" t="s">
        <v>209</v>
      </c>
      <c r="B16" s="92" t="s">
        <v>210</v>
      </c>
      <c r="C16" s="92"/>
      <c r="D16" s="92"/>
      <c r="E16" s="92"/>
      <c r="F16" s="92"/>
      <c r="G16" s="92"/>
      <c r="H16" s="92"/>
      <c r="I16" s="92"/>
      <c r="J16" s="71" t="s">
        <v>211</v>
      </c>
    </row>
    <row r="17" spans="1:10" ht="17.100000000000001" customHeight="1">
      <c r="A17" s="71"/>
      <c r="B17" s="92"/>
      <c r="C17" s="92"/>
      <c r="D17" s="92"/>
      <c r="E17" s="92"/>
      <c r="F17" s="92"/>
      <c r="G17" s="92"/>
      <c r="H17" s="92"/>
      <c r="I17" s="92"/>
      <c r="J17" s="71"/>
    </row>
    <row r="18" spans="1:10" ht="17.100000000000001" customHeight="1">
      <c r="A18" s="71"/>
      <c r="B18" s="92"/>
      <c r="C18" s="92"/>
      <c r="D18" s="92"/>
      <c r="E18" s="92"/>
      <c r="F18" s="92"/>
      <c r="G18" s="92"/>
      <c r="H18" s="92"/>
      <c r="I18" s="92"/>
      <c r="J18" s="71"/>
    </row>
    <row r="19" spans="1:10" ht="17.100000000000001" customHeight="1">
      <c r="A19" s="71"/>
      <c r="B19" s="92"/>
      <c r="C19" s="92"/>
      <c r="D19" s="92"/>
      <c r="E19" s="92"/>
      <c r="F19" s="92"/>
      <c r="G19" s="92"/>
      <c r="H19" s="92"/>
      <c r="I19" s="92"/>
      <c r="J19" s="71"/>
    </row>
    <row r="20" spans="1:10" ht="17.100000000000001" customHeight="1">
      <c r="A20" s="71"/>
      <c r="B20" s="92"/>
      <c r="C20" s="92"/>
      <c r="D20" s="92"/>
      <c r="E20" s="92"/>
      <c r="F20" s="92"/>
      <c r="G20" s="92"/>
      <c r="H20" s="92"/>
      <c r="I20" s="92"/>
      <c r="J20" s="71"/>
    </row>
    <row r="21" spans="1:10" ht="17.100000000000001" customHeight="1">
      <c r="A21" s="71"/>
      <c r="B21" s="92"/>
      <c r="C21" s="92"/>
      <c r="D21" s="92"/>
      <c r="E21" s="92"/>
      <c r="F21" s="92"/>
      <c r="G21" s="92"/>
      <c r="H21" s="92"/>
      <c r="I21" s="92"/>
      <c r="J21" s="71"/>
    </row>
    <row r="22" spans="1:10" ht="17.100000000000001" customHeight="1">
      <c r="A22" s="71"/>
      <c r="B22" s="92"/>
      <c r="C22" s="92"/>
      <c r="D22" s="92"/>
      <c r="E22" s="92"/>
      <c r="F22" s="92"/>
      <c r="G22" s="92"/>
      <c r="H22" s="92"/>
      <c r="I22" s="92"/>
      <c r="J22" s="71"/>
    </row>
    <row r="23" spans="1:10" ht="17.100000000000001" customHeight="1">
      <c r="A23" s="71"/>
      <c r="B23" s="92"/>
      <c r="C23" s="92"/>
      <c r="D23" s="92"/>
      <c r="E23" s="92"/>
      <c r="F23" s="92"/>
      <c r="G23" s="92"/>
      <c r="H23" s="92"/>
      <c r="I23" s="92"/>
      <c r="J23" s="71"/>
    </row>
    <row r="24" spans="1:10" ht="17.100000000000001" customHeight="1">
      <c r="A24" s="71"/>
      <c r="B24" s="92"/>
      <c r="C24" s="92"/>
      <c r="D24" s="92"/>
      <c r="E24" s="92"/>
      <c r="F24" s="92"/>
      <c r="G24" s="92"/>
      <c r="H24" s="92"/>
      <c r="I24" s="92"/>
      <c r="J24" s="71"/>
    </row>
    <row r="25" spans="1:10" ht="17.100000000000001" customHeight="1">
      <c r="A25" s="71"/>
      <c r="B25" s="92"/>
      <c r="C25" s="92"/>
      <c r="D25" s="92"/>
      <c r="E25" s="92"/>
      <c r="F25" s="92"/>
      <c r="G25" s="92"/>
      <c r="H25" s="92"/>
      <c r="I25" s="92"/>
      <c r="J25" s="71"/>
    </row>
    <row r="26" spans="1:10" ht="17.100000000000001" customHeight="1">
      <c r="A26" s="71"/>
      <c r="B26" s="92"/>
      <c r="C26" s="92"/>
      <c r="D26" s="92"/>
      <c r="E26" s="92"/>
      <c r="F26" s="92"/>
      <c r="G26" s="92"/>
      <c r="H26" s="92"/>
      <c r="I26" s="92"/>
      <c r="J26" s="71"/>
    </row>
    <row r="27" spans="1:10" ht="17.100000000000001" customHeight="1">
      <c r="A27" s="71"/>
      <c r="B27" s="92"/>
      <c r="C27" s="92"/>
      <c r="D27" s="92"/>
      <c r="E27" s="92"/>
      <c r="F27" s="92"/>
      <c r="G27" s="92"/>
      <c r="H27" s="92"/>
      <c r="I27" s="92"/>
      <c r="J27" s="71"/>
    </row>
    <row r="28" spans="1:10" ht="17.100000000000001" customHeight="1">
      <c r="A28" s="71"/>
      <c r="B28" s="92"/>
      <c r="C28" s="92"/>
      <c r="D28" s="92"/>
      <c r="E28" s="92"/>
      <c r="F28" s="92"/>
      <c r="G28" s="92"/>
      <c r="H28" s="92"/>
      <c r="I28" s="92"/>
      <c r="J28" s="71"/>
    </row>
    <row r="29" spans="1:10" ht="17.100000000000001" customHeight="1">
      <c r="A29" s="71"/>
      <c r="B29" s="92"/>
      <c r="C29" s="92"/>
      <c r="D29" s="92"/>
      <c r="E29" s="92"/>
      <c r="F29" s="92"/>
      <c r="G29" s="92"/>
      <c r="H29" s="92"/>
      <c r="I29" s="92"/>
      <c r="J29" s="71"/>
    </row>
    <row r="30" spans="1:10" ht="17.100000000000001" customHeight="1">
      <c r="A30" s="71"/>
      <c r="B30" s="92"/>
      <c r="C30" s="92"/>
      <c r="D30" s="92"/>
      <c r="E30" s="92"/>
      <c r="F30" s="92"/>
      <c r="G30" s="92"/>
      <c r="H30" s="92"/>
      <c r="I30" s="92"/>
      <c r="J30" s="71"/>
    </row>
    <row r="31" spans="1:10" ht="17.100000000000001" customHeight="1">
      <c r="A31" s="71"/>
      <c r="B31" s="92"/>
      <c r="C31" s="92"/>
      <c r="D31" s="92"/>
      <c r="E31" s="92"/>
      <c r="F31" s="92"/>
      <c r="G31" s="92"/>
      <c r="H31" s="92"/>
      <c r="I31" s="92"/>
      <c r="J31" s="71"/>
    </row>
    <row r="32" spans="1:10" ht="17.100000000000001" customHeight="1">
      <c r="A32" s="71"/>
      <c r="B32" s="92"/>
      <c r="C32" s="92"/>
      <c r="D32" s="92"/>
      <c r="E32" s="92"/>
      <c r="F32" s="92"/>
      <c r="G32" s="92"/>
      <c r="H32" s="92"/>
      <c r="I32" s="92"/>
      <c r="J32" s="71"/>
    </row>
    <row r="33" spans="1:10" ht="17.100000000000001" customHeight="1">
      <c r="A33" s="71"/>
      <c r="B33" s="92"/>
      <c r="C33" s="92"/>
      <c r="D33" s="92"/>
      <c r="E33" s="92"/>
      <c r="F33" s="92"/>
      <c r="G33" s="92"/>
      <c r="H33" s="92"/>
      <c r="I33" s="92"/>
      <c r="J33" s="71"/>
    </row>
    <row r="34" spans="1:10" ht="17.100000000000001" customHeight="1">
      <c r="A34" s="71"/>
      <c r="B34" s="92"/>
      <c r="C34" s="92"/>
      <c r="D34" s="92"/>
      <c r="E34" s="92"/>
      <c r="F34" s="92"/>
      <c r="G34" s="92"/>
      <c r="H34" s="92"/>
      <c r="I34" s="92"/>
      <c r="J34" s="71"/>
    </row>
    <row r="35" spans="1:10" ht="17.100000000000001" customHeight="1">
      <c r="A35" s="71"/>
      <c r="B35" s="92"/>
      <c r="C35" s="92"/>
      <c r="D35" s="92"/>
      <c r="E35" s="92"/>
      <c r="F35" s="92"/>
      <c r="G35" s="92"/>
      <c r="H35" s="92"/>
      <c r="I35" s="92"/>
      <c r="J35" s="71"/>
    </row>
    <row r="36" spans="1:10" ht="17.100000000000001" customHeight="1">
      <c r="A36" s="71"/>
      <c r="B36" s="92"/>
      <c r="C36" s="92"/>
      <c r="D36" s="92"/>
      <c r="E36" s="92"/>
      <c r="F36" s="92"/>
      <c r="G36" s="92"/>
      <c r="H36" s="92"/>
      <c r="I36" s="92"/>
      <c r="J36" s="71"/>
    </row>
    <row r="37" spans="1:10" ht="66" customHeight="1">
      <c r="A37" s="93" t="s">
        <v>212</v>
      </c>
      <c r="B37" s="93"/>
      <c r="C37" s="93"/>
      <c r="D37" s="93"/>
      <c r="E37" s="93"/>
      <c r="F37" s="93"/>
      <c r="G37" s="93"/>
      <c r="H37" s="93"/>
      <c r="I37" s="93"/>
      <c r="J37" s="93"/>
    </row>
    <row r="38" spans="1:10" ht="36.75" customHeight="1">
      <c r="A38" s="91" t="s">
        <v>213</v>
      </c>
      <c r="B38" s="91"/>
      <c r="C38" s="91"/>
      <c r="D38" s="91"/>
      <c r="E38" s="91"/>
      <c r="F38" s="91"/>
      <c r="G38" s="91"/>
      <c r="H38" s="91"/>
      <c r="I38" s="91"/>
      <c r="J38" s="91"/>
    </row>
    <row r="39" spans="1:10" ht="33.75" customHeight="1">
      <c r="A39" s="72"/>
      <c r="B39" s="72"/>
      <c r="C39" s="72"/>
      <c r="D39" s="72"/>
      <c r="E39" s="72"/>
      <c r="F39" s="72"/>
      <c r="G39" s="72"/>
      <c r="H39" s="73" t="s">
        <v>214</v>
      </c>
      <c r="I39" s="73"/>
      <c r="J39" s="73"/>
    </row>
    <row r="40" spans="1:10">
      <c r="A40" s="58"/>
      <c r="B40" s="58"/>
      <c r="C40" s="58"/>
      <c r="D40" s="58"/>
      <c r="E40" s="58"/>
      <c r="F40" s="58"/>
      <c r="G40" s="58"/>
      <c r="H40" s="58"/>
      <c r="I40" s="58"/>
      <c r="J40" s="58"/>
    </row>
    <row r="41" spans="1:10" ht="18">
      <c r="A41" s="67"/>
      <c r="B41" s="67"/>
      <c r="C41" s="67"/>
      <c r="D41" s="67"/>
      <c r="E41" s="67"/>
      <c r="F41" s="58"/>
      <c r="G41" s="58"/>
      <c r="H41" s="58"/>
      <c r="I41" s="58"/>
      <c r="J41" s="58"/>
    </row>
    <row r="42" spans="1:10">
      <c r="A42" s="58"/>
      <c r="B42" s="58"/>
      <c r="C42" s="58"/>
      <c r="D42" s="58"/>
      <c r="E42" s="58"/>
      <c r="F42" s="58"/>
      <c r="G42" s="58"/>
      <c r="H42" s="58"/>
      <c r="I42" s="58"/>
      <c r="J42" s="58"/>
    </row>
  </sheetData>
  <sheetProtection algorithmName="SHA-512" hashValue="+LqxBbPZdzyUbWLx2pCMJiw5Dv6/ow1701K0kQuBJwyLrcapeRFBP5BYjNNmvrtJboEVrb7XR70jRFd2x7zcxA==" saltValue="vV3BPdrSTLhEQnrU7rwucg==" spinCount="100000" sheet="1" objects="1" scenarios="1"/>
  <mergeCells count="28">
    <mergeCell ref="B35:I35"/>
    <mergeCell ref="B36:I36"/>
    <mergeCell ref="A37:J37"/>
    <mergeCell ref="B28:I28"/>
    <mergeCell ref="I1:J3"/>
    <mergeCell ref="B25:I25"/>
    <mergeCell ref="B26:I26"/>
    <mergeCell ref="B24:I24"/>
    <mergeCell ref="B5:F5"/>
    <mergeCell ref="I5:J5"/>
    <mergeCell ref="H8:I8"/>
    <mergeCell ref="B8:F8"/>
    <mergeCell ref="A38:J38"/>
    <mergeCell ref="B16:I16"/>
    <mergeCell ref="B17:I17"/>
    <mergeCell ref="B18:I18"/>
    <mergeCell ref="B19:I19"/>
    <mergeCell ref="B20:I20"/>
    <mergeCell ref="B29:I29"/>
    <mergeCell ref="B30:I30"/>
    <mergeCell ref="B31:I31"/>
    <mergeCell ref="B32:I32"/>
    <mergeCell ref="B33:I33"/>
    <mergeCell ref="B34:I34"/>
    <mergeCell ref="B27:I27"/>
    <mergeCell ref="B22:I22"/>
    <mergeCell ref="B23:I23"/>
    <mergeCell ref="B21:I21"/>
  </mergeCells>
  <pageMargins left="0.6692913385826772" right="0.6692913385826772" top="0.43307086614173229" bottom="0.62992125984251968" header="0" footer="0"/>
  <pageSetup paperSize="9" orientation="portrait" r:id="rId1"/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/>
  <dimension ref="A1:J42"/>
  <sheetViews>
    <sheetView view="pageLayout" zoomScaleNormal="100" workbookViewId="0">
      <selection activeCell="H8" sqref="H8"/>
    </sheetView>
  </sheetViews>
  <sheetFormatPr baseColWidth="10" defaultColWidth="9.140625" defaultRowHeight="15"/>
  <cols>
    <col min="1" max="1" width="11" customWidth="1"/>
    <col min="5" max="5" width="3.7109375" customWidth="1"/>
    <col min="6" max="6" width="6.7109375" customWidth="1"/>
    <col min="7" max="7" width="1.42578125" customWidth="1"/>
    <col min="8" max="8" width="9.140625" customWidth="1"/>
    <col min="9" max="10" width="13.7109375" customWidth="1"/>
  </cols>
  <sheetData>
    <row r="1" spans="1:10" ht="60.6" customHeight="1">
      <c r="I1" s="94" t="s">
        <v>200</v>
      </c>
      <c r="J1" s="94"/>
    </row>
    <row r="2" spans="1:10" ht="27" customHeight="1">
      <c r="I2" s="94"/>
      <c r="J2" s="94"/>
    </row>
    <row r="3" spans="1:10" ht="18" customHeight="1">
      <c r="A3" s="61" t="s">
        <v>215</v>
      </c>
      <c r="B3" s="53"/>
      <c r="C3" s="53"/>
      <c r="D3" s="53"/>
      <c r="E3" s="53"/>
      <c r="F3" s="53"/>
      <c r="G3" s="53"/>
      <c r="H3" s="53"/>
      <c r="I3" s="94"/>
      <c r="J3" s="94"/>
    </row>
    <row r="4" spans="1:10" ht="14.25" customHeight="1"/>
    <row r="5" spans="1:10" ht="15.75" customHeight="1">
      <c r="A5" s="74" t="s">
        <v>191</v>
      </c>
      <c r="B5" s="95"/>
      <c r="C5" s="95"/>
      <c r="D5" s="95"/>
      <c r="E5" s="95"/>
      <c r="F5" s="95"/>
      <c r="G5" s="68"/>
      <c r="H5" s="74" t="s">
        <v>190</v>
      </c>
      <c r="I5" s="96"/>
      <c r="J5" s="96"/>
    </row>
    <row r="6" spans="1:10" ht="18" customHeight="1">
      <c r="A6" s="69" t="s">
        <v>202</v>
      </c>
      <c r="B6" s="58"/>
      <c r="C6" s="58"/>
      <c r="D6" s="58"/>
      <c r="E6" s="58"/>
      <c r="F6" s="58"/>
      <c r="G6" s="58"/>
      <c r="H6" s="58"/>
      <c r="I6" s="58"/>
      <c r="J6" s="58"/>
    </row>
    <row r="7" spans="1:10">
      <c r="A7" s="58"/>
      <c r="B7" s="58"/>
      <c r="C7" s="58"/>
      <c r="D7" s="58"/>
      <c r="E7" s="58"/>
      <c r="F7" s="58"/>
      <c r="G7" s="58"/>
      <c r="H7" s="58"/>
      <c r="I7" s="58"/>
      <c r="J7" s="58"/>
    </row>
    <row r="8" spans="1:10" ht="16.5" customHeight="1">
      <c r="A8" s="74" t="s">
        <v>189</v>
      </c>
      <c r="B8" s="96"/>
      <c r="C8" s="96"/>
      <c r="D8" s="96"/>
      <c r="E8" s="77" t="s">
        <v>204</v>
      </c>
      <c r="F8" s="78"/>
      <c r="G8" s="78"/>
      <c r="H8" s="75"/>
      <c r="I8" s="76" t="s">
        <v>216</v>
      </c>
      <c r="J8" s="74"/>
    </row>
    <row r="9" spans="1:10" ht="11.25" customHeight="1">
      <c r="A9" s="58"/>
      <c r="B9" s="58"/>
      <c r="C9" s="58"/>
      <c r="D9" s="58"/>
      <c r="E9" s="58"/>
      <c r="F9" s="58"/>
      <c r="G9" s="58"/>
      <c r="H9" s="58"/>
      <c r="I9" s="58"/>
      <c r="J9" s="58"/>
    </row>
    <row r="10" spans="1:10" ht="17.25" customHeight="1">
      <c r="A10" s="74" t="s">
        <v>205</v>
      </c>
      <c r="B10" s="62"/>
      <c r="C10" s="62"/>
      <c r="D10" s="62"/>
      <c r="E10" s="62"/>
      <c r="F10" s="62"/>
      <c r="G10" s="64"/>
      <c r="H10" s="74" t="s">
        <v>206</v>
      </c>
      <c r="I10" s="62"/>
      <c r="J10" s="55"/>
    </row>
    <row r="11" spans="1:10" ht="11.25" customHeight="1">
      <c r="A11" s="58"/>
      <c r="B11" s="58"/>
      <c r="C11" s="58"/>
      <c r="D11" s="58"/>
      <c r="E11" s="58"/>
      <c r="F11" s="58"/>
      <c r="G11" s="58"/>
      <c r="H11" s="58"/>
      <c r="I11" s="58"/>
      <c r="J11" s="58"/>
    </row>
    <row r="12" spans="1:10" ht="15.75" customHeight="1">
      <c r="A12" s="74" t="s">
        <v>207</v>
      </c>
      <c r="B12" s="55"/>
      <c r="C12" s="55"/>
      <c r="D12" s="55"/>
      <c r="E12" s="55"/>
      <c r="F12" s="55"/>
      <c r="G12" s="55"/>
      <c r="H12" s="55"/>
      <c r="I12" s="55"/>
      <c r="J12" s="55"/>
    </row>
    <row r="13" spans="1:10" ht="19.5" customHeight="1">
      <c r="A13" s="63"/>
      <c r="B13" s="58"/>
      <c r="C13" s="58"/>
      <c r="D13" s="58"/>
      <c r="E13" s="58"/>
      <c r="F13" s="65"/>
      <c r="G13" s="65"/>
      <c r="H13" s="66"/>
      <c r="I13" s="66"/>
      <c r="J13" s="58"/>
    </row>
    <row r="14" spans="1:10" ht="15.75" customHeight="1">
      <c r="A14" s="70" t="s">
        <v>208</v>
      </c>
      <c r="B14" s="58"/>
      <c r="C14" s="58"/>
      <c r="D14" s="58"/>
      <c r="E14" s="58"/>
      <c r="F14" s="58"/>
      <c r="G14" s="58"/>
      <c r="H14" s="66"/>
      <c r="I14" s="58"/>
      <c r="J14" s="58"/>
    </row>
    <row r="15" spans="1:10">
      <c r="A15" s="58"/>
      <c r="B15" s="58"/>
      <c r="C15" s="58"/>
      <c r="D15" s="58"/>
      <c r="E15" s="58"/>
      <c r="F15" s="58"/>
      <c r="G15" s="58"/>
      <c r="H15" s="58"/>
      <c r="I15" s="58"/>
      <c r="J15" s="58"/>
    </row>
    <row r="16" spans="1:10" ht="17.100000000000001" customHeight="1">
      <c r="A16" s="71" t="s">
        <v>209</v>
      </c>
      <c r="B16" s="92" t="s">
        <v>210</v>
      </c>
      <c r="C16" s="92"/>
      <c r="D16" s="92"/>
      <c r="E16" s="92"/>
      <c r="F16" s="92"/>
      <c r="G16" s="92"/>
      <c r="H16" s="92"/>
      <c r="I16" s="92"/>
      <c r="J16" s="71" t="s">
        <v>211</v>
      </c>
    </row>
    <row r="17" spans="1:10" ht="17.100000000000001" customHeight="1">
      <c r="A17" s="71"/>
      <c r="B17" s="92"/>
      <c r="C17" s="92"/>
      <c r="D17" s="92"/>
      <c r="E17" s="92"/>
      <c r="F17" s="92"/>
      <c r="G17" s="92"/>
      <c r="H17" s="92"/>
      <c r="I17" s="92"/>
      <c r="J17" s="71"/>
    </row>
    <row r="18" spans="1:10" ht="17.100000000000001" customHeight="1">
      <c r="A18" s="71"/>
      <c r="B18" s="92"/>
      <c r="C18" s="92"/>
      <c r="D18" s="92"/>
      <c r="E18" s="92"/>
      <c r="F18" s="92"/>
      <c r="G18" s="92"/>
      <c r="H18" s="92"/>
      <c r="I18" s="92"/>
      <c r="J18" s="71"/>
    </row>
    <row r="19" spans="1:10" ht="17.100000000000001" customHeight="1">
      <c r="A19" s="71"/>
      <c r="B19" s="92"/>
      <c r="C19" s="92"/>
      <c r="D19" s="92"/>
      <c r="E19" s="92"/>
      <c r="F19" s="92"/>
      <c r="G19" s="92"/>
      <c r="H19" s="92"/>
      <c r="I19" s="92"/>
      <c r="J19" s="71"/>
    </row>
    <row r="20" spans="1:10" ht="17.100000000000001" customHeight="1">
      <c r="A20" s="71"/>
      <c r="B20" s="92"/>
      <c r="C20" s="92"/>
      <c r="D20" s="92"/>
      <c r="E20" s="92"/>
      <c r="F20" s="92"/>
      <c r="G20" s="92"/>
      <c r="H20" s="92"/>
      <c r="I20" s="92"/>
      <c r="J20" s="71"/>
    </row>
    <row r="21" spans="1:10" ht="17.100000000000001" customHeight="1">
      <c r="A21" s="71"/>
      <c r="B21" s="92"/>
      <c r="C21" s="92"/>
      <c r="D21" s="92"/>
      <c r="E21" s="92"/>
      <c r="F21" s="92"/>
      <c r="G21" s="92"/>
      <c r="H21" s="92"/>
      <c r="I21" s="92"/>
      <c r="J21" s="71"/>
    </row>
    <row r="22" spans="1:10" ht="17.100000000000001" customHeight="1">
      <c r="A22" s="71"/>
      <c r="B22" s="92"/>
      <c r="C22" s="92"/>
      <c r="D22" s="92"/>
      <c r="E22" s="92"/>
      <c r="F22" s="92"/>
      <c r="G22" s="92"/>
      <c r="H22" s="92"/>
      <c r="I22" s="92"/>
      <c r="J22" s="71"/>
    </row>
    <row r="23" spans="1:10" ht="17.100000000000001" customHeight="1">
      <c r="A23" s="71"/>
      <c r="B23" s="92"/>
      <c r="C23" s="92"/>
      <c r="D23" s="92"/>
      <c r="E23" s="92"/>
      <c r="F23" s="92"/>
      <c r="G23" s="92"/>
      <c r="H23" s="92"/>
      <c r="I23" s="92"/>
      <c r="J23" s="71"/>
    </row>
    <row r="24" spans="1:10" ht="17.100000000000001" customHeight="1">
      <c r="A24" s="71"/>
      <c r="B24" s="92"/>
      <c r="C24" s="92"/>
      <c r="D24" s="92"/>
      <c r="E24" s="92"/>
      <c r="F24" s="92"/>
      <c r="G24" s="92"/>
      <c r="H24" s="92"/>
      <c r="I24" s="92"/>
      <c r="J24" s="71"/>
    </row>
    <row r="25" spans="1:10" ht="17.100000000000001" customHeight="1">
      <c r="A25" s="71"/>
      <c r="B25" s="92"/>
      <c r="C25" s="92"/>
      <c r="D25" s="92"/>
      <c r="E25" s="92"/>
      <c r="F25" s="92"/>
      <c r="G25" s="92"/>
      <c r="H25" s="92"/>
      <c r="I25" s="92"/>
      <c r="J25" s="71"/>
    </row>
    <row r="26" spans="1:10" ht="17.100000000000001" customHeight="1">
      <c r="A26" s="71"/>
      <c r="B26" s="92"/>
      <c r="C26" s="92"/>
      <c r="D26" s="92"/>
      <c r="E26" s="92"/>
      <c r="F26" s="92"/>
      <c r="G26" s="92"/>
      <c r="H26" s="92"/>
      <c r="I26" s="92"/>
      <c r="J26" s="71"/>
    </row>
    <row r="27" spans="1:10" ht="17.100000000000001" customHeight="1">
      <c r="A27" s="71"/>
      <c r="B27" s="92"/>
      <c r="C27" s="92"/>
      <c r="D27" s="92"/>
      <c r="E27" s="92"/>
      <c r="F27" s="92"/>
      <c r="G27" s="92"/>
      <c r="H27" s="92"/>
      <c r="I27" s="92"/>
      <c r="J27" s="71"/>
    </row>
    <row r="28" spans="1:10" ht="17.100000000000001" customHeight="1">
      <c r="A28" s="71"/>
      <c r="B28" s="92"/>
      <c r="C28" s="92"/>
      <c r="D28" s="92"/>
      <c r="E28" s="92"/>
      <c r="F28" s="92"/>
      <c r="G28" s="92"/>
      <c r="H28" s="92"/>
      <c r="I28" s="92"/>
      <c r="J28" s="71"/>
    </row>
    <row r="29" spans="1:10" ht="17.100000000000001" customHeight="1">
      <c r="A29" s="71"/>
      <c r="B29" s="92"/>
      <c r="C29" s="92"/>
      <c r="D29" s="92"/>
      <c r="E29" s="92"/>
      <c r="F29" s="92"/>
      <c r="G29" s="92"/>
      <c r="H29" s="92"/>
      <c r="I29" s="92"/>
      <c r="J29" s="71"/>
    </row>
    <row r="30" spans="1:10" ht="17.100000000000001" customHeight="1">
      <c r="A30" s="71"/>
      <c r="B30" s="92"/>
      <c r="C30" s="92"/>
      <c r="D30" s="92"/>
      <c r="E30" s="92"/>
      <c r="F30" s="92"/>
      <c r="G30" s="92"/>
      <c r="H30" s="92"/>
      <c r="I30" s="92"/>
      <c r="J30" s="71"/>
    </row>
    <row r="31" spans="1:10" ht="17.100000000000001" customHeight="1">
      <c r="A31" s="71"/>
      <c r="B31" s="92"/>
      <c r="C31" s="92"/>
      <c r="D31" s="92"/>
      <c r="E31" s="92"/>
      <c r="F31" s="92"/>
      <c r="G31" s="92"/>
      <c r="H31" s="92"/>
      <c r="I31" s="92"/>
      <c r="J31" s="71"/>
    </row>
    <row r="32" spans="1:10" ht="17.100000000000001" customHeight="1">
      <c r="A32" s="71"/>
      <c r="B32" s="92"/>
      <c r="C32" s="92"/>
      <c r="D32" s="92"/>
      <c r="E32" s="92"/>
      <c r="F32" s="92"/>
      <c r="G32" s="92"/>
      <c r="H32" s="92"/>
      <c r="I32" s="92"/>
      <c r="J32" s="71"/>
    </row>
    <row r="33" spans="1:10" ht="17.100000000000001" customHeight="1">
      <c r="A33" s="71"/>
      <c r="B33" s="92"/>
      <c r="C33" s="92"/>
      <c r="D33" s="92"/>
      <c r="E33" s="92"/>
      <c r="F33" s="92"/>
      <c r="G33" s="92"/>
      <c r="H33" s="92"/>
      <c r="I33" s="92"/>
      <c r="J33" s="71"/>
    </row>
    <row r="34" spans="1:10" ht="17.100000000000001" customHeight="1">
      <c r="A34" s="71"/>
      <c r="B34" s="92"/>
      <c r="C34" s="92"/>
      <c r="D34" s="92"/>
      <c r="E34" s="92"/>
      <c r="F34" s="92"/>
      <c r="G34" s="92"/>
      <c r="H34" s="92"/>
      <c r="I34" s="92"/>
      <c r="J34" s="71"/>
    </row>
    <row r="35" spans="1:10" ht="17.100000000000001" customHeight="1">
      <c r="A35" s="71"/>
      <c r="B35" s="92"/>
      <c r="C35" s="92"/>
      <c r="D35" s="92"/>
      <c r="E35" s="92"/>
      <c r="F35" s="92"/>
      <c r="G35" s="92"/>
      <c r="H35" s="92"/>
      <c r="I35" s="92"/>
      <c r="J35" s="71"/>
    </row>
    <row r="36" spans="1:10" ht="17.100000000000001" customHeight="1">
      <c r="A36" s="71"/>
      <c r="B36" s="92"/>
      <c r="C36" s="92"/>
      <c r="D36" s="92"/>
      <c r="E36" s="92"/>
      <c r="F36" s="92"/>
      <c r="G36" s="92"/>
      <c r="H36" s="92"/>
      <c r="I36" s="92"/>
      <c r="J36" s="71"/>
    </row>
    <row r="37" spans="1:10" ht="66" customHeight="1">
      <c r="A37" s="93" t="s">
        <v>217</v>
      </c>
      <c r="B37" s="93"/>
      <c r="C37" s="93"/>
      <c r="D37" s="93"/>
      <c r="E37" s="93"/>
      <c r="F37" s="93"/>
      <c r="G37" s="93"/>
      <c r="H37" s="93"/>
      <c r="I37" s="93"/>
      <c r="J37" s="93"/>
    </row>
    <row r="38" spans="1:10" ht="36.75" customHeight="1">
      <c r="A38" s="91" t="s">
        <v>213</v>
      </c>
      <c r="B38" s="91"/>
      <c r="C38" s="91"/>
      <c r="D38" s="91"/>
      <c r="E38" s="91"/>
      <c r="F38" s="91"/>
      <c r="G38" s="91"/>
      <c r="H38" s="91"/>
      <c r="I38" s="91"/>
      <c r="J38" s="91"/>
    </row>
    <row r="39" spans="1:10" ht="33.75" customHeight="1">
      <c r="A39" s="72"/>
      <c r="B39" s="72"/>
      <c r="C39" s="72"/>
      <c r="D39" s="72"/>
      <c r="E39" s="72"/>
      <c r="F39" s="72"/>
      <c r="G39" s="72"/>
      <c r="H39" s="73" t="s">
        <v>214</v>
      </c>
      <c r="I39" s="73"/>
      <c r="J39" s="73"/>
    </row>
    <row r="40" spans="1:10">
      <c r="A40" s="58"/>
      <c r="B40" s="58"/>
      <c r="C40" s="58"/>
      <c r="D40" s="58"/>
      <c r="E40" s="58"/>
      <c r="F40" s="58"/>
      <c r="G40" s="58"/>
      <c r="H40" s="58"/>
      <c r="I40" s="58"/>
      <c r="J40" s="58"/>
    </row>
    <row r="41" spans="1:10" ht="18">
      <c r="A41" s="67"/>
      <c r="B41" s="67"/>
      <c r="C41" s="67"/>
      <c r="D41" s="67"/>
      <c r="E41" s="67"/>
      <c r="F41" s="58"/>
      <c r="G41" s="58"/>
      <c r="H41" s="58"/>
      <c r="I41" s="58"/>
      <c r="J41" s="58"/>
    </row>
    <row r="42" spans="1:10">
      <c r="A42" s="58"/>
      <c r="B42" s="58"/>
      <c r="C42" s="58"/>
      <c r="D42" s="58"/>
      <c r="E42" s="58"/>
      <c r="F42" s="58"/>
      <c r="G42" s="58"/>
      <c r="H42" s="58"/>
      <c r="I42" s="58"/>
      <c r="J42" s="58"/>
    </row>
  </sheetData>
  <sheetProtection algorithmName="SHA-512" hashValue="O4E7i+4w8poswzazrYPBMDCyxN5cFHng0k0ekmvWvrNjNsT0k61BSe/FpARv/Z+mzedIvfhJv34BUP6iZwd0ow==" saltValue="u3FTVvCNd5OyLvA2tiplVQ==" spinCount="100000" sheet="1" objects="1" scenarios="1"/>
  <mergeCells count="27">
    <mergeCell ref="I1:J3"/>
    <mergeCell ref="B5:F5"/>
    <mergeCell ref="I5:J5"/>
    <mergeCell ref="B16:I16"/>
    <mergeCell ref="B28:I28"/>
    <mergeCell ref="B17:I17"/>
    <mergeCell ref="B18:I18"/>
    <mergeCell ref="B19:I19"/>
    <mergeCell ref="B20:I20"/>
    <mergeCell ref="B21:I21"/>
    <mergeCell ref="B22:I22"/>
    <mergeCell ref="B35:I35"/>
    <mergeCell ref="B36:I36"/>
    <mergeCell ref="A37:J37"/>
    <mergeCell ref="A38:J38"/>
    <mergeCell ref="B8:D8"/>
    <mergeCell ref="B29:I29"/>
    <mergeCell ref="B30:I30"/>
    <mergeCell ref="B31:I31"/>
    <mergeCell ref="B32:I32"/>
    <mergeCell ref="B33:I33"/>
    <mergeCell ref="B34:I34"/>
    <mergeCell ref="B23:I23"/>
    <mergeCell ref="B24:I24"/>
    <mergeCell ref="B25:I25"/>
    <mergeCell ref="B26:I26"/>
    <mergeCell ref="B27:I27"/>
  </mergeCells>
  <pageMargins left="0.6692913385826772" right="0.6692913385826772" top="0.43307086614173229" bottom="0.62992125984251968" header="0" footer="0"/>
  <pageSetup paperSize="9" orientation="portrait" r:id="rId1"/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2"/>
  <dimension ref="A1:E27"/>
  <sheetViews>
    <sheetView workbookViewId="0">
      <selection activeCell="A4" sqref="A4:E40"/>
    </sheetView>
  </sheetViews>
  <sheetFormatPr baseColWidth="10" defaultColWidth="9.140625" defaultRowHeight="15"/>
  <cols>
    <col min="1" max="1" width="22.28515625" bestFit="1" customWidth="1"/>
    <col min="2" max="2" width="13.85546875" bestFit="1" customWidth="1"/>
    <col min="3" max="3" width="10.140625" bestFit="1" customWidth="1"/>
    <col min="4" max="4" width="12" customWidth="1"/>
    <col min="5" max="5" width="45.7109375" customWidth="1"/>
  </cols>
  <sheetData>
    <row r="1" spans="1:5" ht="15.75">
      <c r="A1" s="38" t="s">
        <v>49</v>
      </c>
    </row>
    <row r="2" spans="1:5">
      <c r="A2" s="37"/>
    </row>
    <row r="3" spans="1:5">
      <c r="A3" s="47" t="s">
        <v>23</v>
      </c>
      <c r="B3" s="47" t="s">
        <v>24</v>
      </c>
      <c r="C3" s="47" t="s">
        <v>6</v>
      </c>
      <c r="D3" s="47" t="s">
        <v>25</v>
      </c>
      <c r="E3" s="47" t="s">
        <v>26</v>
      </c>
    </row>
    <row r="4" spans="1:5">
      <c r="A4" t="s">
        <v>27</v>
      </c>
      <c r="C4" t="s">
        <v>28</v>
      </c>
      <c r="D4">
        <v>41258495</v>
      </c>
    </row>
    <row r="5" spans="1:5">
      <c r="A5" t="s">
        <v>29</v>
      </c>
      <c r="C5" t="s">
        <v>28</v>
      </c>
      <c r="D5">
        <v>90623781</v>
      </c>
    </row>
    <row r="6" spans="1:5">
      <c r="A6" t="s">
        <v>30</v>
      </c>
      <c r="C6" t="s">
        <v>28</v>
      </c>
      <c r="D6">
        <v>46630323</v>
      </c>
    </row>
    <row r="7" spans="1:5">
      <c r="A7" t="s">
        <v>31</v>
      </c>
      <c r="C7" t="s">
        <v>28</v>
      </c>
      <c r="D7">
        <v>94809667</v>
      </c>
    </row>
    <row r="8" spans="1:5">
      <c r="A8" t="s">
        <v>32</v>
      </c>
      <c r="C8" t="s">
        <v>28</v>
      </c>
    </row>
    <row r="9" spans="1:5">
      <c r="A9" t="s">
        <v>33</v>
      </c>
      <c r="C9" t="s">
        <v>28</v>
      </c>
    </row>
    <row r="10" spans="1:5">
      <c r="A10" t="s">
        <v>34</v>
      </c>
      <c r="C10" t="s">
        <v>28</v>
      </c>
    </row>
    <row r="11" spans="1:5">
      <c r="A11" t="s">
        <v>35</v>
      </c>
    </row>
    <row r="12" spans="1:5">
      <c r="A12" t="s">
        <v>36</v>
      </c>
    </row>
    <row r="13" spans="1:5">
      <c r="A13" t="s">
        <v>37</v>
      </c>
      <c r="C13" t="s">
        <v>28</v>
      </c>
      <c r="D13">
        <v>98607027</v>
      </c>
    </row>
    <row r="14" spans="1:5">
      <c r="A14" t="s">
        <v>38</v>
      </c>
      <c r="B14" t="s">
        <v>28</v>
      </c>
      <c r="D14">
        <v>48606701</v>
      </c>
    </row>
    <row r="15" spans="1:5">
      <c r="A15" t="s">
        <v>39</v>
      </c>
      <c r="B15" t="s">
        <v>28</v>
      </c>
    </row>
    <row r="16" spans="1:5">
      <c r="A16" t="s">
        <v>40</v>
      </c>
      <c r="B16" t="s">
        <v>28</v>
      </c>
      <c r="D16">
        <v>95551449</v>
      </c>
    </row>
    <row r="17" spans="1:4">
      <c r="A17" t="s">
        <v>41</v>
      </c>
      <c r="B17" t="s">
        <v>28</v>
      </c>
      <c r="D17">
        <v>97915101</v>
      </c>
    </row>
    <row r="18" spans="1:4">
      <c r="A18" t="s">
        <v>42</v>
      </c>
      <c r="B18" t="s">
        <v>28</v>
      </c>
      <c r="D18">
        <v>46949380</v>
      </c>
    </row>
    <row r="19" spans="1:4">
      <c r="A19" t="s">
        <v>43</v>
      </c>
      <c r="B19" t="s">
        <v>28</v>
      </c>
      <c r="D19">
        <v>41268495</v>
      </c>
    </row>
    <row r="20" spans="1:4">
      <c r="A20" t="s">
        <v>44</v>
      </c>
      <c r="B20" t="s">
        <v>28</v>
      </c>
    </row>
    <row r="23" spans="1:4">
      <c r="A23" t="s">
        <v>45</v>
      </c>
    </row>
    <row r="24" spans="1:4">
      <c r="A24" t="s">
        <v>46</v>
      </c>
      <c r="D24">
        <v>47366543</v>
      </c>
    </row>
    <row r="26" spans="1:4">
      <c r="A26" t="s">
        <v>47</v>
      </c>
      <c r="D26">
        <v>90362962</v>
      </c>
    </row>
    <row r="27" spans="1:4">
      <c r="A27" t="s">
        <v>48</v>
      </c>
      <c r="D27">
        <v>91845169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38228-2F8F-4720-A08F-8C65943BD449}">
  <sheetPr codeName="Ark44"/>
  <dimension ref="A1:J10"/>
  <sheetViews>
    <sheetView workbookViewId="0">
      <selection activeCell="I10" sqref="I10"/>
    </sheetView>
  </sheetViews>
  <sheetFormatPr baseColWidth="10" defaultRowHeight="15"/>
  <cols>
    <col min="1" max="1" width="23.7109375" customWidth="1"/>
    <col min="2" max="2" width="30.85546875" customWidth="1"/>
    <col min="3" max="3" width="12.7109375" customWidth="1"/>
    <col min="4" max="4" width="22.5703125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  <col min="10" max="10" width="52.7109375" customWidth="1"/>
  </cols>
  <sheetData>
    <row r="1" spans="1:10" ht="15.75">
      <c r="A1" s="4" t="s">
        <v>9</v>
      </c>
      <c r="B1" s="41">
        <v>42827</v>
      </c>
    </row>
    <row r="3" spans="1:10">
      <c r="A3" s="47" t="s">
        <v>23</v>
      </c>
      <c r="B3" s="47" t="s">
        <v>24</v>
      </c>
      <c r="C3" s="47" t="s">
        <v>6</v>
      </c>
      <c r="D3" s="47" t="s">
        <v>25</v>
      </c>
      <c r="E3" s="47" t="s">
        <v>26</v>
      </c>
    </row>
    <row r="4" spans="1:10">
      <c r="A4" t="s">
        <v>46</v>
      </c>
      <c r="D4">
        <v>47366543</v>
      </c>
    </row>
    <row r="9" spans="1:10" ht="15.75">
      <c r="A9" s="2" t="s">
        <v>0</v>
      </c>
      <c r="B9" s="2" t="s">
        <v>1</v>
      </c>
      <c r="C9" s="35" t="s">
        <v>2</v>
      </c>
      <c r="D9" s="2" t="s">
        <v>3</v>
      </c>
      <c r="E9" s="2" t="s">
        <v>4</v>
      </c>
      <c r="F9" s="2" t="s">
        <v>5</v>
      </c>
      <c r="G9" s="2" t="s">
        <v>8</v>
      </c>
      <c r="H9" s="2" t="s">
        <v>6</v>
      </c>
      <c r="I9" s="2" t="s">
        <v>7</v>
      </c>
      <c r="J9" s="2" t="s">
        <v>50</v>
      </c>
    </row>
    <row r="10" spans="1:10">
      <c r="A10" s="3">
        <v>0.375</v>
      </c>
      <c r="B10" t="s">
        <v>65</v>
      </c>
      <c r="C10" s="36" t="s">
        <v>110</v>
      </c>
      <c r="D10" t="s">
        <v>66</v>
      </c>
      <c r="E10" t="s">
        <v>67</v>
      </c>
      <c r="F10" t="s">
        <v>68</v>
      </c>
      <c r="G10" t="s">
        <v>228</v>
      </c>
      <c r="H10" s="1" t="s">
        <v>46</v>
      </c>
      <c r="I10" s="1" t="s">
        <v>229</v>
      </c>
      <c r="J10" s="80" t="s">
        <v>46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7D75F-52FE-4FDF-862B-0FEBD2569E55}">
  <sheetPr codeName="Ark45"/>
  <dimension ref="A1:J17"/>
  <sheetViews>
    <sheetView workbookViewId="0">
      <selection activeCell="A5" sqref="A5:E5"/>
    </sheetView>
  </sheetViews>
  <sheetFormatPr baseColWidth="10" defaultRowHeight="15"/>
  <cols>
    <col min="1" max="1" width="23.7109375" customWidth="1"/>
    <col min="2" max="2" width="30.85546875" customWidth="1"/>
    <col min="3" max="3" width="12.7109375" customWidth="1"/>
    <col min="4" max="4" width="22.5703125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  <col min="10" max="10" width="52.7109375" customWidth="1"/>
  </cols>
  <sheetData>
    <row r="1" spans="1:10" ht="15.75">
      <c r="A1" s="4" t="s">
        <v>9</v>
      </c>
      <c r="B1" s="41">
        <v>42827</v>
      </c>
    </row>
    <row r="3" spans="1:10">
      <c r="A3" s="47" t="s">
        <v>23</v>
      </c>
      <c r="B3" s="47" t="s">
        <v>24</v>
      </c>
      <c r="C3" s="47" t="s">
        <v>6</v>
      </c>
      <c r="D3" s="47" t="s">
        <v>25</v>
      </c>
      <c r="E3" s="47" t="s">
        <v>26</v>
      </c>
    </row>
    <row r="4" spans="1:10">
      <c r="A4" t="s">
        <v>46</v>
      </c>
      <c r="D4">
        <v>47366543</v>
      </c>
    </row>
    <row r="5" spans="1:10">
      <c r="A5" t="s">
        <v>45</v>
      </c>
    </row>
    <row r="9" spans="1:10" ht="15.75">
      <c r="A9" s="2" t="s">
        <v>0</v>
      </c>
      <c r="B9" s="2" t="s">
        <v>1</v>
      </c>
      <c r="C9" s="35" t="s">
        <v>2</v>
      </c>
      <c r="D9" s="2" t="s">
        <v>3</v>
      </c>
      <c r="E9" s="2" t="s">
        <v>4</v>
      </c>
      <c r="F9" s="2" t="s">
        <v>5</v>
      </c>
      <c r="G9" s="2" t="s">
        <v>8</v>
      </c>
      <c r="H9" s="2" t="s">
        <v>6</v>
      </c>
      <c r="I9" s="2" t="s">
        <v>7</v>
      </c>
      <c r="J9" s="2" t="s">
        <v>50</v>
      </c>
    </row>
    <row r="10" spans="1:10">
      <c r="A10" s="3">
        <v>0.3923611111111111</v>
      </c>
      <c r="B10" t="s">
        <v>65</v>
      </c>
      <c r="C10" s="36" t="s">
        <v>113</v>
      </c>
      <c r="D10" t="s">
        <v>66</v>
      </c>
      <c r="E10" t="s">
        <v>77</v>
      </c>
      <c r="F10" t="s">
        <v>78</v>
      </c>
      <c r="G10" t="s">
        <v>228</v>
      </c>
      <c r="H10" s="1" t="s">
        <v>230</v>
      </c>
      <c r="I10" s="1" t="s">
        <v>45</v>
      </c>
      <c r="J10" s="80" t="s">
        <v>177</v>
      </c>
    </row>
    <row r="11" spans="1:10">
      <c r="A11" s="3">
        <v>0.40972222222222227</v>
      </c>
      <c r="B11" t="s">
        <v>65</v>
      </c>
      <c r="C11" s="36" t="s">
        <v>116</v>
      </c>
      <c r="D11" t="s">
        <v>66</v>
      </c>
      <c r="E11" t="s">
        <v>83</v>
      </c>
      <c r="F11" t="s">
        <v>84</v>
      </c>
      <c r="G11" t="s">
        <v>228</v>
      </c>
      <c r="H11" s="1" t="s">
        <v>230</v>
      </c>
      <c r="I11" s="1" t="s">
        <v>45</v>
      </c>
      <c r="J11" s="80" t="s">
        <v>177</v>
      </c>
    </row>
    <row r="12" spans="1:10">
      <c r="A12" s="3">
        <v>0.42708333333333331</v>
      </c>
      <c r="B12" t="s">
        <v>65</v>
      </c>
      <c r="C12" s="36" t="s">
        <v>119</v>
      </c>
      <c r="D12" t="s">
        <v>66</v>
      </c>
      <c r="E12" t="s">
        <v>89</v>
      </c>
      <c r="F12" t="s">
        <v>77</v>
      </c>
      <c r="G12" t="s">
        <v>228</v>
      </c>
      <c r="H12" s="1" t="s">
        <v>230</v>
      </c>
      <c r="I12" s="1" t="s">
        <v>45</v>
      </c>
      <c r="J12" s="80" t="s">
        <v>177</v>
      </c>
    </row>
    <row r="13" spans="1:10">
      <c r="A13" s="3">
        <v>0.44444444444444442</v>
      </c>
      <c r="B13" t="s">
        <v>65</v>
      </c>
      <c r="C13" s="36" t="s">
        <v>122</v>
      </c>
      <c r="D13" t="s">
        <v>66</v>
      </c>
      <c r="E13" t="s">
        <v>68</v>
      </c>
      <c r="F13" t="s">
        <v>83</v>
      </c>
      <c r="G13" t="s">
        <v>228</v>
      </c>
      <c r="H13" s="1" t="s">
        <v>230</v>
      </c>
      <c r="I13" s="1" t="s">
        <v>45</v>
      </c>
      <c r="J13" s="80" t="s">
        <v>177</v>
      </c>
    </row>
    <row r="14" spans="1:10">
      <c r="A14" s="3">
        <v>0.46180555555555558</v>
      </c>
      <c r="B14" t="s">
        <v>65</v>
      </c>
      <c r="C14" s="36" t="s">
        <v>125</v>
      </c>
      <c r="D14" t="s">
        <v>66</v>
      </c>
      <c r="E14" t="s">
        <v>78</v>
      </c>
      <c r="F14" t="s">
        <v>67</v>
      </c>
      <c r="G14" t="s">
        <v>228</v>
      </c>
      <c r="H14" s="1" t="s">
        <v>230</v>
      </c>
      <c r="I14" s="1" t="s">
        <v>45</v>
      </c>
      <c r="J14" s="80" t="s">
        <v>177</v>
      </c>
    </row>
    <row r="15" spans="1:10">
      <c r="A15" s="3">
        <v>0.47916666666666669</v>
      </c>
      <c r="B15" t="s">
        <v>65</v>
      </c>
      <c r="C15" s="36" t="s">
        <v>128</v>
      </c>
      <c r="D15" t="s">
        <v>66</v>
      </c>
      <c r="E15" t="s">
        <v>77</v>
      </c>
      <c r="F15" t="s">
        <v>84</v>
      </c>
      <c r="G15" t="s">
        <v>228</v>
      </c>
      <c r="H15" s="1" t="s">
        <v>230</v>
      </c>
      <c r="I15" s="1" t="s">
        <v>45</v>
      </c>
      <c r="J15" s="80" t="s">
        <v>177</v>
      </c>
    </row>
    <row r="16" spans="1:10">
      <c r="A16" s="3">
        <v>0.50694444444444442</v>
      </c>
      <c r="B16" t="s">
        <v>65</v>
      </c>
      <c r="C16" s="36" t="s">
        <v>131</v>
      </c>
      <c r="D16" t="s">
        <v>66</v>
      </c>
      <c r="E16" t="s">
        <v>67</v>
      </c>
      <c r="F16" t="s">
        <v>89</v>
      </c>
      <c r="G16" t="s">
        <v>228</v>
      </c>
      <c r="H16" s="1" t="s">
        <v>230</v>
      </c>
      <c r="I16" s="1" t="s">
        <v>45</v>
      </c>
      <c r="J16" s="80" t="s">
        <v>177</v>
      </c>
    </row>
    <row r="17" spans="1:10">
      <c r="A17" s="3">
        <v>0.52430555555555558</v>
      </c>
      <c r="B17" t="s">
        <v>65</v>
      </c>
      <c r="C17" s="36" t="s">
        <v>134</v>
      </c>
      <c r="D17" t="s">
        <v>66</v>
      </c>
      <c r="E17" t="s">
        <v>83</v>
      </c>
      <c r="F17" t="s">
        <v>78</v>
      </c>
      <c r="G17" t="s">
        <v>228</v>
      </c>
      <c r="H17" s="1" t="s">
        <v>230</v>
      </c>
      <c r="I17" s="1" t="s">
        <v>45</v>
      </c>
      <c r="J17" s="80" t="s">
        <v>177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2BC61-F548-49CF-831D-748792F756EC}">
  <sheetPr codeName="Ark46"/>
  <dimension ref="A1:J10"/>
  <sheetViews>
    <sheetView workbookViewId="0">
      <selection activeCell="I10" sqref="I10"/>
    </sheetView>
  </sheetViews>
  <sheetFormatPr baseColWidth="10" defaultRowHeight="15"/>
  <cols>
    <col min="1" max="1" width="23.7109375" customWidth="1"/>
    <col min="2" max="2" width="30.85546875" customWidth="1"/>
    <col min="3" max="3" width="12.7109375" customWidth="1"/>
    <col min="4" max="4" width="22.5703125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  <col min="10" max="10" width="52.7109375" customWidth="1"/>
  </cols>
  <sheetData>
    <row r="1" spans="1:10" ht="15.75">
      <c r="A1" s="4" t="s">
        <v>9</v>
      </c>
      <c r="B1" s="41">
        <v>42827</v>
      </c>
    </row>
    <row r="3" spans="1:10">
      <c r="A3" s="47" t="s">
        <v>23</v>
      </c>
      <c r="B3" s="47" t="s">
        <v>24</v>
      </c>
      <c r="C3" s="47" t="s">
        <v>6</v>
      </c>
      <c r="D3" s="47" t="s">
        <v>25</v>
      </c>
      <c r="E3" s="47" t="s">
        <v>26</v>
      </c>
    </row>
    <row r="4" spans="1:10">
      <c r="A4" t="s">
        <v>38</v>
      </c>
      <c r="B4" t="s">
        <v>28</v>
      </c>
      <c r="D4">
        <v>48606701</v>
      </c>
    </row>
    <row r="9" spans="1:10" ht="15.75">
      <c r="A9" s="2" t="s">
        <v>0</v>
      </c>
      <c r="B9" s="2" t="s">
        <v>1</v>
      </c>
      <c r="C9" s="35" t="s">
        <v>2</v>
      </c>
      <c r="D9" s="2" t="s">
        <v>3</v>
      </c>
      <c r="E9" s="2" t="s">
        <v>4</v>
      </c>
      <c r="F9" s="2" t="s">
        <v>5</v>
      </c>
      <c r="G9" s="2" t="s">
        <v>8</v>
      </c>
      <c r="H9" s="2" t="s">
        <v>6</v>
      </c>
      <c r="I9" s="2" t="s">
        <v>7</v>
      </c>
      <c r="J9" s="2" t="s">
        <v>50</v>
      </c>
    </row>
    <row r="10" spans="1:10">
      <c r="A10" s="3">
        <v>0.54166666666666663</v>
      </c>
      <c r="B10" t="s">
        <v>65</v>
      </c>
      <c r="C10" s="36" t="s">
        <v>137</v>
      </c>
      <c r="D10" t="s">
        <v>66</v>
      </c>
      <c r="E10" t="s">
        <v>68</v>
      </c>
      <c r="F10" t="s">
        <v>84</v>
      </c>
      <c r="G10" t="s">
        <v>228</v>
      </c>
      <c r="H10" s="1" t="s">
        <v>38</v>
      </c>
      <c r="I10" s="1" t="s">
        <v>229</v>
      </c>
      <c r="J10" s="80" t="s">
        <v>38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EB4B9-D16A-4C65-8DBB-733BFBB8DC4B}">
  <sheetPr codeName="Ark47"/>
  <dimension ref="A1:J15"/>
  <sheetViews>
    <sheetView workbookViewId="0">
      <selection activeCell="A5" sqref="A5:E5"/>
    </sheetView>
  </sheetViews>
  <sheetFormatPr baseColWidth="10" defaultRowHeight="15"/>
  <cols>
    <col min="1" max="1" width="23.7109375" customWidth="1"/>
    <col min="2" max="2" width="30.85546875" customWidth="1"/>
    <col min="3" max="3" width="12.7109375" customWidth="1"/>
    <col min="4" max="4" width="22.5703125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  <col min="10" max="10" width="52.7109375" customWidth="1"/>
  </cols>
  <sheetData>
    <row r="1" spans="1:10" ht="15.75">
      <c r="A1" s="4" t="s">
        <v>9</v>
      </c>
      <c r="B1" s="41">
        <v>42827</v>
      </c>
    </row>
    <row r="3" spans="1:10">
      <c r="A3" s="47" t="s">
        <v>23</v>
      </c>
      <c r="B3" s="47" t="s">
        <v>24</v>
      </c>
      <c r="C3" s="47" t="s">
        <v>6</v>
      </c>
      <c r="D3" s="47" t="s">
        <v>25</v>
      </c>
      <c r="E3" s="47" t="s">
        <v>26</v>
      </c>
    </row>
    <row r="4" spans="1:10">
      <c r="A4" t="s">
        <v>38</v>
      </c>
      <c r="B4" t="s">
        <v>28</v>
      </c>
      <c r="D4">
        <v>48606701</v>
      </c>
    </row>
    <row r="5" spans="1:10">
      <c r="A5" t="s">
        <v>44</v>
      </c>
      <c r="B5" t="s">
        <v>28</v>
      </c>
    </row>
    <row r="9" spans="1:10" ht="15.75">
      <c r="A9" s="2" t="s">
        <v>0</v>
      </c>
      <c r="B9" s="2" t="s">
        <v>1</v>
      </c>
      <c r="C9" s="35" t="s">
        <v>2</v>
      </c>
      <c r="D9" s="2" t="s">
        <v>3</v>
      </c>
      <c r="E9" s="2" t="s">
        <v>4</v>
      </c>
      <c r="F9" s="2" t="s">
        <v>5</v>
      </c>
      <c r="G9" s="2" t="s">
        <v>8</v>
      </c>
      <c r="H9" s="2" t="s">
        <v>6</v>
      </c>
      <c r="I9" s="2" t="s">
        <v>7</v>
      </c>
      <c r="J9" s="2" t="s">
        <v>50</v>
      </c>
    </row>
    <row r="10" spans="1:10">
      <c r="A10" s="3">
        <v>0.55902777777777779</v>
      </c>
      <c r="B10" t="s">
        <v>65</v>
      </c>
      <c r="C10" s="36" t="s">
        <v>140</v>
      </c>
      <c r="D10" t="s">
        <v>66</v>
      </c>
      <c r="E10" t="s">
        <v>78</v>
      </c>
      <c r="F10" t="s">
        <v>89</v>
      </c>
      <c r="G10" t="s">
        <v>228</v>
      </c>
      <c r="H10" s="1" t="s">
        <v>231</v>
      </c>
      <c r="I10" s="1" t="s">
        <v>44</v>
      </c>
      <c r="J10" s="80" t="s">
        <v>181</v>
      </c>
    </row>
    <row r="11" spans="1:10">
      <c r="A11" s="3">
        <v>0.57638888888888895</v>
      </c>
      <c r="B11" t="s">
        <v>95</v>
      </c>
      <c r="C11" s="36" t="s">
        <v>145</v>
      </c>
      <c r="D11" t="s">
        <v>66</v>
      </c>
      <c r="E11" t="s">
        <v>96</v>
      </c>
      <c r="F11" t="s">
        <v>90</v>
      </c>
      <c r="G11" t="s">
        <v>232</v>
      </c>
      <c r="H11" s="1" t="s">
        <v>231</v>
      </c>
      <c r="I11" s="1" t="s">
        <v>44</v>
      </c>
      <c r="J11" s="80" t="s">
        <v>181</v>
      </c>
    </row>
    <row r="12" spans="1:10">
      <c r="A12" s="3">
        <v>0.59375</v>
      </c>
      <c r="B12" t="s">
        <v>95</v>
      </c>
      <c r="C12" s="36" t="s">
        <v>148</v>
      </c>
      <c r="D12" t="s">
        <v>66</v>
      </c>
      <c r="E12" t="s">
        <v>102</v>
      </c>
      <c r="F12" t="s">
        <v>83</v>
      </c>
      <c r="G12" t="s">
        <v>232</v>
      </c>
      <c r="H12" s="1" t="s">
        <v>231</v>
      </c>
      <c r="I12" s="1" t="s">
        <v>44</v>
      </c>
      <c r="J12" s="80" t="s">
        <v>181</v>
      </c>
    </row>
    <row r="13" spans="1:10">
      <c r="A13" s="3">
        <v>0.61111111111111105</v>
      </c>
      <c r="B13" t="s">
        <v>95</v>
      </c>
      <c r="C13" s="36" t="s">
        <v>151</v>
      </c>
      <c r="D13" t="s">
        <v>66</v>
      </c>
      <c r="E13" t="s">
        <v>67</v>
      </c>
      <c r="F13" t="s">
        <v>105</v>
      </c>
      <c r="G13" t="s">
        <v>232</v>
      </c>
      <c r="H13" s="1" t="s">
        <v>231</v>
      </c>
      <c r="I13" s="1" t="s">
        <v>44</v>
      </c>
      <c r="J13" s="80" t="s">
        <v>181</v>
      </c>
    </row>
    <row r="14" spans="1:10">
      <c r="A14" s="3">
        <v>0.62847222222222221</v>
      </c>
      <c r="B14" t="s">
        <v>95</v>
      </c>
      <c r="C14" s="36" t="s">
        <v>154</v>
      </c>
      <c r="D14" t="s">
        <v>66</v>
      </c>
      <c r="E14" t="s">
        <v>108</v>
      </c>
      <c r="F14" t="s">
        <v>102</v>
      </c>
      <c r="G14" t="s">
        <v>232</v>
      </c>
      <c r="H14" s="1" t="s">
        <v>231</v>
      </c>
      <c r="I14" s="1" t="s">
        <v>44</v>
      </c>
      <c r="J14" s="80" t="s">
        <v>181</v>
      </c>
    </row>
    <row r="15" spans="1:10">
      <c r="A15" s="3">
        <v>0.64583333333333337</v>
      </c>
      <c r="B15" t="s">
        <v>95</v>
      </c>
      <c r="C15" s="36" t="s">
        <v>157</v>
      </c>
      <c r="D15" t="s">
        <v>66</v>
      </c>
      <c r="E15" t="s">
        <v>90</v>
      </c>
      <c r="F15" t="s">
        <v>67</v>
      </c>
      <c r="G15" t="s">
        <v>232</v>
      </c>
      <c r="H15" s="1" t="s">
        <v>231</v>
      </c>
      <c r="I15" s="1" t="s">
        <v>44</v>
      </c>
      <c r="J15" s="80" t="s">
        <v>181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6B9CC-0E11-4304-82D2-3B0540768284}">
  <sheetPr codeName="Ark48"/>
  <dimension ref="A1:J17"/>
  <sheetViews>
    <sheetView workbookViewId="0">
      <selection activeCell="A5" sqref="A5:E5"/>
    </sheetView>
  </sheetViews>
  <sheetFormatPr baseColWidth="10" defaultRowHeight="15"/>
  <cols>
    <col min="1" max="1" width="23.7109375" customWidth="1"/>
    <col min="2" max="2" width="30.85546875" customWidth="1"/>
    <col min="3" max="3" width="12.7109375" customWidth="1"/>
    <col min="4" max="4" width="22.5703125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  <col min="10" max="10" width="52.7109375" customWidth="1"/>
  </cols>
  <sheetData>
    <row r="1" spans="1:10" ht="15.75">
      <c r="A1" s="4" t="s">
        <v>9</v>
      </c>
      <c r="B1" s="41">
        <v>42827</v>
      </c>
    </row>
    <row r="3" spans="1:10">
      <c r="A3" s="47" t="s">
        <v>23</v>
      </c>
      <c r="B3" s="47" t="s">
        <v>24</v>
      </c>
      <c r="C3" s="47" t="s">
        <v>6</v>
      </c>
      <c r="D3" s="47" t="s">
        <v>25</v>
      </c>
      <c r="E3" s="47" t="s">
        <v>26</v>
      </c>
    </row>
    <row r="4" spans="1:10">
      <c r="A4" t="s">
        <v>27</v>
      </c>
      <c r="C4" t="s">
        <v>28</v>
      </c>
      <c r="D4">
        <v>41258495</v>
      </c>
    </row>
    <row r="5" spans="1:10">
      <c r="A5" t="s">
        <v>29</v>
      </c>
      <c r="C5" t="s">
        <v>28</v>
      </c>
      <c r="D5">
        <v>90623781</v>
      </c>
    </row>
    <row r="9" spans="1:10" ht="15.75">
      <c r="A9" s="2" t="s">
        <v>0</v>
      </c>
      <c r="B9" s="2" t="s">
        <v>1</v>
      </c>
      <c r="C9" s="35" t="s">
        <v>2</v>
      </c>
      <c r="D9" s="2" t="s">
        <v>3</v>
      </c>
      <c r="E9" s="2" t="s">
        <v>4</v>
      </c>
      <c r="F9" s="2" t="s">
        <v>5</v>
      </c>
      <c r="G9" s="2" t="s">
        <v>8</v>
      </c>
      <c r="H9" s="2" t="s">
        <v>6</v>
      </c>
      <c r="I9" s="2" t="s">
        <v>7</v>
      </c>
      <c r="J9" s="2" t="s">
        <v>50</v>
      </c>
    </row>
    <row r="10" spans="1:10">
      <c r="A10" s="3">
        <v>0.375</v>
      </c>
      <c r="B10" t="s">
        <v>69</v>
      </c>
      <c r="C10" s="36" t="s">
        <v>111</v>
      </c>
      <c r="D10" t="s">
        <v>70</v>
      </c>
      <c r="E10" t="s">
        <v>71</v>
      </c>
      <c r="F10" t="s">
        <v>72</v>
      </c>
      <c r="G10" t="s">
        <v>228</v>
      </c>
      <c r="H10" s="1" t="s">
        <v>233</v>
      </c>
      <c r="I10" s="1" t="s">
        <v>29</v>
      </c>
      <c r="J10" s="80" t="s">
        <v>180</v>
      </c>
    </row>
    <row r="11" spans="1:10">
      <c r="A11" s="3">
        <v>0.3923611111111111</v>
      </c>
      <c r="B11" t="s">
        <v>69</v>
      </c>
      <c r="C11" s="36" t="s">
        <v>114</v>
      </c>
      <c r="D11" t="s">
        <v>70</v>
      </c>
      <c r="E11" t="s">
        <v>79</v>
      </c>
      <c r="F11" t="s">
        <v>80</v>
      </c>
      <c r="G11" t="s">
        <v>228</v>
      </c>
      <c r="H11" s="1" t="s">
        <v>233</v>
      </c>
      <c r="I11" s="1" t="s">
        <v>29</v>
      </c>
      <c r="J11" s="80" t="s">
        <v>180</v>
      </c>
    </row>
    <row r="12" spans="1:10">
      <c r="A12" s="3">
        <v>0.66319444444444442</v>
      </c>
      <c r="B12" t="s">
        <v>95</v>
      </c>
      <c r="C12" s="36" t="s">
        <v>160</v>
      </c>
      <c r="D12" t="s">
        <v>66</v>
      </c>
      <c r="E12" t="s">
        <v>83</v>
      </c>
      <c r="F12" t="s">
        <v>96</v>
      </c>
      <c r="G12" t="s">
        <v>232</v>
      </c>
      <c r="H12" s="1" t="s">
        <v>233</v>
      </c>
      <c r="I12" s="1" t="s">
        <v>29</v>
      </c>
      <c r="J12" s="80" t="s">
        <v>180</v>
      </c>
    </row>
    <row r="13" spans="1:10">
      <c r="A13" s="3">
        <v>0.68055555555555547</v>
      </c>
      <c r="B13" t="s">
        <v>95</v>
      </c>
      <c r="C13" s="36" t="s">
        <v>163</v>
      </c>
      <c r="D13" t="s">
        <v>66</v>
      </c>
      <c r="E13" t="s">
        <v>102</v>
      </c>
      <c r="F13" t="s">
        <v>105</v>
      </c>
      <c r="G13" t="s">
        <v>232</v>
      </c>
      <c r="H13" s="1" t="s">
        <v>233</v>
      </c>
      <c r="I13" s="1" t="s">
        <v>29</v>
      </c>
      <c r="J13" s="80" t="s">
        <v>180</v>
      </c>
    </row>
    <row r="14" spans="1:10">
      <c r="A14" s="50">
        <v>0.69791666666666663</v>
      </c>
      <c r="B14" s="1" t="s">
        <v>95</v>
      </c>
      <c r="C14" s="34" t="s">
        <v>166</v>
      </c>
      <c r="D14" s="1" t="s">
        <v>66</v>
      </c>
      <c r="E14" s="1" t="s">
        <v>96</v>
      </c>
      <c r="F14" s="1" t="s">
        <v>108</v>
      </c>
      <c r="G14" t="s">
        <v>232</v>
      </c>
      <c r="H14" s="1" t="s">
        <v>233</v>
      </c>
      <c r="I14" s="1" t="s">
        <v>29</v>
      </c>
      <c r="J14" s="80" t="s">
        <v>180</v>
      </c>
    </row>
    <row r="15" spans="1:10">
      <c r="A15" s="50">
        <v>0.72569444444444453</v>
      </c>
      <c r="B15" s="1" t="s">
        <v>95</v>
      </c>
      <c r="C15" s="34" t="s">
        <v>169</v>
      </c>
      <c r="D15" s="1" t="s">
        <v>66</v>
      </c>
      <c r="E15" s="1" t="s">
        <v>67</v>
      </c>
      <c r="F15" s="1" t="s">
        <v>83</v>
      </c>
      <c r="G15" t="s">
        <v>232</v>
      </c>
      <c r="H15" s="1" t="s">
        <v>233</v>
      </c>
      <c r="I15" s="1" t="s">
        <v>29</v>
      </c>
      <c r="J15" s="80" t="s">
        <v>180</v>
      </c>
    </row>
    <row r="16" spans="1:10">
      <c r="A16" s="50">
        <v>0.74305555555555547</v>
      </c>
      <c r="B16" s="1" t="s">
        <v>95</v>
      </c>
      <c r="C16" s="34" t="s">
        <v>172</v>
      </c>
      <c r="D16" s="1" t="s">
        <v>66</v>
      </c>
      <c r="E16" s="1" t="s">
        <v>90</v>
      </c>
      <c r="F16" s="1" t="s">
        <v>105</v>
      </c>
      <c r="G16" t="s">
        <v>232</v>
      </c>
      <c r="H16" s="1" t="s">
        <v>233</v>
      </c>
      <c r="I16" s="1" t="s">
        <v>29</v>
      </c>
      <c r="J16" s="80" t="s">
        <v>180</v>
      </c>
    </row>
    <row r="17" spans="1:10">
      <c r="A17" s="50">
        <v>0.76041666666666663</v>
      </c>
      <c r="B17" s="1" t="s">
        <v>95</v>
      </c>
      <c r="C17" s="34" t="s">
        <v>175</v>
      </c>
      <c r="D17" s="1" t="s">
        <v>66</v>
      </c>
      <c r="E17" s="1" t="s">
        <v>83</v>
      </c>
      <c r="F17" s="1" t="s">
        <v>108</v>
      </c>
      <c r="G17" t="s">
        <v>232</v>
      </c>
      <c r="H17" s="1" t="s">
        <v>233</v>
      </c>
      <c r="I17" s="1" t="s">
        <v>29</v>
      </c>
      <c r="J17" s="80" t="s">
        <v>180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60845-5746-4ACD-AB08-8C6B274886FF}">
  <sheetPr codeName="Ark49"/>
  <dimension ref="A1:J15"/>
  <sheetViews>
    <sheetView workbookViewId="0">
      <selection activeCell="A5" sqref="A5:E5"/>
    </sheetView>
  </sheetViews>
  <sheetFormatPr baseColWidth="10" defaultRowHeight="15"/>
  <cols>
    <col min="1" max="1" width="23.7109375" customWidth="1"/>
    <col min="2" max="2" width="30.85546875" customWidth="1"/>
    <col min="3" max="3" width="12.7109375" customWidth="1"/>
    <col min="4" max="4" width="22.5703125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  <col min="10" max="10" width="52.7109375" customWidth="1"/>
  </cols>
  <sheetData>
    <row r="1" spans="1:10" ht="15.75">
      <c r="A1" s="4" t="s">
        <v>9</v>
      </c>
      <c r="B1" s="41">
        <v>42827</v>
      </c>
    </row>
    <row r="3" spans="1:10">
      <c r="A3" s="47" t="s">
        <v>23</v>
      </c>
      <c r="B3" s="47" t="s">
        <v>24</v>
      </c>
      <c r="C3" s="47" t="s">
        <v>6</v>
      </c>
      <c r="D3" s="47" t="s">
        <v>25</v>
      </c>
      <c r="E3" s="47" t="s">
        <v>26</v>
      </c>
    </row>
    <row r="5" spans="1:10">
      <c r="A5" t="s">
        <v>43</v>
      </c>
      <c r="B5" t="s">
        <v>28</v>
      </c>
      <c r="D5">
        <v>41268495</v>
      </c>
    </row>
    <row r="9" spans="1:10" ht="15.75">
      <c r="A9" s="2" t="s">
        <v>0</v>
      </c>
      <c r="B9" s="2" t="s">
        <v>1</v>
      </c>
      <c r="C9" s="35" t="s">
        <v>2</v>
      </c>
      <c r="D9" s="2" t="s">
        <v>3</v>
      </c>
      <c r="E9" s="2" t="s">
        <v>4</v>
      </c>
      <c r="F9" s="2" t="s">
        <v>5</v>
      </c>
      <c r="G9" s="2" t="s">
        <v>8</v>
      </c>
      <c r="H9" s="2" t="s">
        <v>6</v>
      </c>
      <c r="I9" s="2" t="s">
        <v>7</v>
      </c>
      <c r="J9" s="2" t="s">
        <v>50</v>
      </c>
    </row>
    <row r="10" spans="1:10">
      <c r="A10" s="3">
        <v>0.40972222222222227</v>
      </c>
      <c r="B10" t="s">
        <v>69</v>
      </c>
      <c r="C10" s="36" t="s">
        <v>117</v>
      </c>
      <c r="D10" t="s">
        <v>70</v>
      </c>
      <c r="E10" t="s">
        <v>85</v>
      </c>
      <c r="F10" t="s">
        <v>86</v>
      </c>
      <c r="G10" t="s">
        <v>228</v>
      </c>
      <c r="H10" s="1" t="s">
        <v>234</v>
      </c>
      <c r="I10" s="1" t="s">
        <v>43</v>
      </c>
      <c r="J10" s="80" t="s">
        <v>186</v>
      </c>
    </row>
    <row r="11" spans="1:10">
      <c r="A11" s="3">
        <v>0.42708333333333331</v>
      </c>
      <c r="B11" t="s">
        <v>69</v>
      </c>
      <c r="C11" s="36" t="s">
        <v>120</v>
      </c>
      <c r="D11" t="s">
        <v>70</v>
      </c>
      <c r="E11" t="s">
        <v>90</v>
      </c>
      <c r="F11" t="s">
        <v>79</v>
      </c>
      <c r="G11" t="s">
        <v>228</v>
      </c>
      <c r="H11" s="1" t="s">
        <v>234</v>
      </c>
      <c r="I11" s="1" t="s">
        <v>43</v>
      </c>
      <c r="J11" s="80" t="s">
        <v>186</v>
      </c>
    </row>
    <row r="12" spans="1:10">
      <c r="A12" s="3">
        <v>0.44444444444444442</v>
      </c>
      <c r="B12" t="s">
        <v>69</v>
      </c>
      <c r="C12" s="36" t="s">
        <v>123</v>
      </c>
      <c r="D12" t="s">
        <v>70</v>
      </c>
      <c r="E12" t="s">
        <v>72</v>
      </c>
      <c r="F12" t="s">
        <v>85</v>
      </c>
      <c r="G12" t="s">
        <v>228</v>
      </c>
      <c r="H12" s="1" t="s">
        <v>234</v>
      </c>
      <c r="I12" s="1" t="s">
        <v>43</v>
      </c>
      <c r="J12" s="80" t="s">
        <v>186</v>
      </c>
    </row>
    <row r="13" spans="1:10">
      <c r="A13" s="3">
        <v>0.46180555555555558</v>
      </c>
      <c r="B13" t="s">
        <v>69</v>
      </c>
      <c r="C13" s="36" t="s">
        <v>126</v>
      </c>
      <c r="D13" t="s">
        <v>70</v>
      </c>
      <c r="E13" t="s">
        <v>80</v>
      </c>
      <c r="F13" t="s">
        <v>71</v>
      </c>
      <c r="G13" t="s">
        <v>228</v>
      </c>
      <c r="H13" s="1" t="s">
        <v>234</v>
      </c>
      <c r="I13" s="1" t="s">
        <v>43</v>
      </c>
      <c r="J13" s="80" t="s">
        <v>186</v>
      </c>
    </row>
    <row r="14" spans="1:10">
      <c r="A14" s="3">
        <v>0.47916666666666669</v>
      </c>
      <c r="B14" t="s">
        <v>69</v>
      </c>
      <c r="C14" s="36" t="s">
        <v>129</v>
      </c>
      <c r="D14" t="s">
        <v>70</v>
      </c>
      <c r="E14" t="s">
        <v>79</v>
      </c>
      <c r="F14" t="s">
        <v>86</v>
      </c>
      <c r="G14" t="s">
        <v>228</v>
      </c>
      <c r="H14" s="1" t="s">
        <v>234</v>
      </c>
      <c r="I14" s="1" t="s">
        <v>43</v>
      </c>
      <c r="J14" s="80" t="s">
        <v>186</v>
      </c>
    </row>
    <row r="15" spans="1:10">
      <c r="A15" s="3">
        <v>0.50694444444444442</v>
      </c>
      <c r="B15" t="s">
        <v>69</v>
      </c>
      <c r="C15" s="36" t="s">
        <v>132</v>
      </c>
      <c r="D15" t="s">
        <v>70</v>
      </c>
      <c r="E15" t="s">
        <v>71</v>
      </c>
      <c r="F15" t="s">
        <v>90</v>
      </c>
      <c r="G15" t="s">
        <v>228</v>
      </c>
      <c r="H15" s="1" t="s">
        <v>234</v>
      </c>
      <c r="I15" s="1" t="s">
        <v>43</v>
      </c>
      <c r="J15" s="80" t="s">
        <v>186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1383D-DEDB-463F-8103-EEFA65B972F8}">
  <sheetPr codeName="Ark50"/>
  <dimension ref="A1:J20"/>
  <sheetViews>
    <sheetView workbookViewId="0">
      <selection activeCell="I10" sqref="I10"/>
    </sheetView>
  </sheetViews>
  <sheetFormatPr baseColWidth="10" defaultRowHeight="15"/>
  <cols>
    <col min="1" max="1" width="23.7109375" customWidth="1"/>
    <col min="2" max="2" width="30.85546875" customWidth="1"/>
    <col min="3" max="3" width="12.7109375" customWidth="1"/>
    <col min="4" max="4" width="22.5703125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  <col min="10" max="10" width="52.7109375" customWidth="1"/>
  </cols>
  <sheetData>
    <row r="1" spans="1:10" ht="15.75">
      <c r="A1" s="4" t="s">
        <v>9</v>
      </c>
      <c r="B1" s="41">
        <v>42827</v>
      </c>
    </row>
    <row r="3" spans="1:10">
      <c r="A3" s="47" t="s">
        <v>23</v>
      </c>
      <c r="B3" s="47" t="s">
        <v>24</v>
      </c>
      <c r="C3" s="47" t="s">
        <v>6</v>
      </c>
      <c r="D3" s="47" t="s">
        <v>25</v>
      </c>
      <c r="E3" s="47" t="s">
        <v>26</v>
      </c>
    </row>
    <row r="9" spans="1:10" ht="15.75">
      <c r="A9" s="2" t="s">
        <v>0</v>
      </c>
      <c r="B9" s="2" t="s">
        <v>1</v>
      </c>
      <c r="C9" s="35" t="s">
        <v>2</v>
      </c>
      <c r="D9" s="2" t="s">
        <v>3</v>
      </c>
      <c r="E9" s="2" t="s">
        <v>4</v>
      </c>
      <c r="F9" s="2" t="s">
        <v>5</v>
      </c>
      <c r="G9" s="2" t="s">
        <v>8</v>
      </c>
      <c r="H9" s="2" t="s">
        <v>6</v>
      </c>
      <c r="I9" s="2" t="s">
        <v>7</v>
      </c>
      <c r="J9" s="2" t="s">
        <v>50</v>
      </c>
    </row>
    <row r="10" spans="1:10">
      <c r="A10" s="3">
        <v>0.52430555555555558</v>
      </c>
      <c r="B10" t="s">
        <v>69</v>
      </c>
      <c r="C10" s="36" t="s">
        <v>135</v>
      </c>
      <c r="D10" t="s">
        <v>70</v>
      </c>
      <c r="E10" t="s">
        <v>85</v>
      </c>
      <c r="F10" t="s">
        <v>80</v>
      </c>
      <c r="G10" t="s">
        <v>228</v>
      </c>
      <c r="H10" s="1" t="s">
        <v>235</v>
      </c>
      <c r="I10" s="1" t="s">
        <v>236</v>
      </c>
      <c r="J10" s="80" t="s">
        <v>183</v>
      </c>
    </row>
    <row r="11" spans="1:10">
      <c r="A11" s="3">
        <v>0.54166666666666663</v>
      </c>
      <c r="B11" t="s">
        <v>69</v>
      </c>
      <c r="C11" s="36" t="s">
        <v>138</v>
      </c>
      <c r="D11" t="s">
        <v>70</v>
      </c>
      <c r="E11" t="s">
        <v>72</v>
      </c>
      <c r="F11" t="s">
        <v>86</v>
      </c>
      <c r="G11" t="s">
        <v>228</v>
      </c>
      <c r="H11" s="1" t="s">
        <v>235</v>
      </c>
      <c r="I11" s="1" t="s">
        <v>236</v>
      </c>
      <c r="J11" s="80" t="s">
        <v>183</v>
      </c>
    </row>
    <row r="12" spans="1:10">
      <c r="A12" s="3">
        <v>0.55902777777777779</v>
      </c>
      <c r="B12" t="s">
        <v>69</v>
      </c>
      <c r="C12" s="36" t="s">
        <v>141</v>
      </c>
      <c r="D12" t="s">
        <v>70</v>
      </c>
      <c r="E12" t="s">
        <v>80</v>
      </c>
      <c r="F12" t="s">
        <v>90</v>
      </c>
      <c r="G12" t="s">
        <v>228</v>
      </c>
      <c r="H12" s="1" t="s">
        <v>235</v>
      </c>
      <c r="I12" s="1" t="s">
        <v>236</v>
      </c>
      <c r="J12" s="80" t="s">
        <v>183</v>
      </c>
    </row>
    <row r="13" spans="1:10">
      <c r="A13" s="3">
        <v>0.57638888888888895</v>
      </c>
      <c r="B13" t="s">
        <v>93</v>
      </c>
      <c r="C13" s="36" t="s">
        <v>144</v>
      </c>
      <c r="D13" t="s">
        <v>70</v>
      </c>
      <c r="E13" t="s">
        <v>80</v>
      </c>
      <c r="F13" t="s">
        <v>94</v>
      </c>
      <c r="G13" t="s">
        <v>232</v>
      </c>
      <c r="H13" s="1" t="s">
        <v>235</v>
      </c>
      <c r="I13" s="1" t="s">
        <v>236</v>
      </c>
      <c r="J13" s="80" t="s">
        <v>183</v>
      </c>
    </row>
    <row r="14" spans="1:10">
      <c r="A14" s="3">
        <v>0.59375</v>
      </c>
      <c r="B14" t="s">
        <v>93</v>
      </c>
      <c r="C14" s="36" t="s">
        <v>146</v>
      </c>
      <c r="D14" t="s">
        <v>70</v>
      </c>
      <c r="E14" t="s">
        <v>97</v>
      </c>
      <c r="F14" t="s">
        <v>98</v>
      </c>
      <c r="G14" t="s">
        <v>232</v>
      </c>
      <c r="H14" s="1" t="s">
        <v>235</v>
      </c>
      <c r="I14" s="1" t="s">
        <v>236</v>
      </c>
      <c r="J14" s="80" t="s">
        <v>183</v>
      </c>
    </row>
    <row r="15" spans="1:10">
      <c r="A15" s="3">
        <v>0.61111111111111105</v>
      </c>
      <c r="B15" t="s">
        <v>93</v>
      </c>
      <c r="C15" s="36" t="s">
        <v>149</v>
      </c>
      <c r="D15" t="s">
        <v>70</v>
      </c>
      <c r="E15" t="s">
        <v>103</v>
      </c>
      <c r="F15" t="s">
        <v>68</v>
      </c>
      <c r="G15" t="s">
        <v>232</v>
      </c>
      <c r="H15" s="1" t="s">
        <v>235</v>
      </c>
      <c r="I15" s="1" t="s">
        <v>236</v>
      </c>
      <c r="J15" s="80" t="s">
        <v>183</v>
      </c>
    </row>
    <row r="16" spans="1:10">
      <c r="A16" s="3">
        <v>0.62847222222222221</v>
      </c>
      <c r="B16" t="s">
        <v>93</v>
      </c>
      <c r="C16" s="36" t="s">
        <v>152</v>
      </c>
      <c r="D16" t="s">
        <v>70</v>
      </c>
      <c r="E16" t="s">
        <v>77</v>
      </c>
      <c r="F16" t="s">
        <v>97</v>
      </c>
      <c r="G16" t="s">
        <v>232</v>
      </c>
      <c r="H16" s="1" t="s">
        <v>235</v>
      </c>
      <c r="I16" s="1" t="s">
        <v>236</v>
      </c>
      <c r="J16" s="80" t="s">
        <v>183</v>
      </c>
    </row>
    <row r="17" spans="1:10">
      <c r="A17" s="3">
        <v>0.64583333333333337</v>
      </c>
      <c r="B17" t="s">
        <v>93</v>
      </c>
      <c r="C17" s="36" t="s">
        <v>155</v>
      </c>
      <c r="D17" t="s">
        <v>70</v>
      </c>
      <c r="E17" t="s">
        <v>94</v>
      </c>
      <c r="F17" t="s">
        <v>103</v>
      </c>
      <c r="G17" t="s">
        <v>232</v>
      </c>
      <c r="H17" s="1" t="s">
        <v>235</v>
      </c>
      <c r="I17" s="1" t="s">
        <v>236</v>
      </c>
      <c r="J17" s="80" t="s">
        <v>183</v>
      </c>
    </row>
    <row r="18" spans="1:10">
      <c r="A18" s="3">
        <v>0.66319444444444442</v>
      </c>
      <c r="B18" t="s">
        <v>93</v>
      </c>
      <c r="C18" s="36" t="s">
        <v>158</v>
      </c>
      <c r="D18" t="s">
        <v>70</v>
      </c>
      <c r="E18" t="s">
        <v>98</v>
      </c>
      <c r="F18" t="s">
        <v>80</v>
      </c>
      <c r="G18" t="s">
        <v>232</v>
      </c>
      <c r="H18" s="1" t="s">
        <v>235</v>
      </c>
      <c r="I18" s="1" t="s">
        <v>236</v>
      </c>
      <c r="J18" s="80" t="s">
        <v>183</v>
      </c>
    </row>
    <row r="19" spans="1:10">
      <c r="A19" s="3">
        <v>0.68055555555555547</v>
      </c>
      <c r="B19" t="s">
        <v>93</v>
      </c>
      <c r="C19" s="36" t="s">
        <v>161</v>
      </c>
      <c r="D19" t="s">
        <v>70</v>
      </c>
      <c r="E19" t="s">
        <v>97</v>
      </c>
      <c r="F19" t="s">
        <v>68</v>
      </c>
      <c r="G19" t="s">
        <v>232</v>
      </c>
      <c r="H19" s="1" t="s">
        <v>235</v>
      </c>
      <c r="I19" s="1" t="s">
        <v>236</v>
      </c>
      <c r="J19" s="80" t="s">
        <v>183</v>
      </c>
    </row>
    <row r="20" spans="1:10">
      <c r="A20" s="50">
        <v>0.69791666666666663</v>
      </c>
      <c r="B20" s="1" t="s">
        <v>93</v>
      </c>
      <c r="C20" s="34" t="s">
        <v>164</v>
      </c>
      <c r="D20" s="1" t="s">
        <v>70</v>
      </c>
      <c r="E20" s="1" t="s">
        <v>80</v>
      </c>
      <c r="F20" s="1" t="s">
        <v>77</v>
      </c>
      <c r="G20" t="s">
        <v>232</v>
      </c>
      <c r="H20" s="1" t="s">
        <v>235</v>
      </c>
      <c r="I20" s="1" t="s">
        <v>236</v>
      </c>
      <c r="J20" s="80" t="s">
        <v>183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5D166-8F43-4DAD-AC89-A978B5B42F93}">
  <sheetPr codeName="Ark51"/>
  <dimension ref="A1:J10"/>
  <sheetViews>
    <sheetView workbookViewId="0">
      <selection activeCell="A5" sqref="A5:E5"/>
    </sheetView>
  </sheetViews>
  <sheetFormatPr baseColWidth="10" defaultRowHeight="15"/>
  <cols>
    <col min="1" max="1" width="23.7109375" customWidth="1"/>
    <col min="2" max="2" width="30.85546875" customWidth="1"/>
    <col min="3" max="3" width="12.7109375" customWidth="1"/>
    <col min="4" max="4" width="22.5703125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  <col min="10" max="10" width="52.7109375" customWidth="1"/>
  </cols>
  <sheetData>
    <row r="1" spans="1:10" ht="15.75">
      <c r="A1" s="4" t="s">
        <v>9</v>
      </c>
      <c r="B1" s="41">
        <v>42827</v>
      </c>
    </row>
    <row r="3" spans="1:10">
      <c r="A3" s="47" t="s">
        <v>23</v>
      </c>
      <c r="B3" s="47" t="s">
        <v>24</v>
      </c>
      <c r="C3" s="47" t="s">
        <v>6</v>
      </c>
      <c r="D3" s="47" t="s">
        <v>25</v>
      </c>
      <c r="E3" s="47" t="s">
        <v>26</v>
      </c>
    </row>
    <row r="5" spans="1:10">
      <c r="A5" t="s">
        <v>44</v>
      </c>
      <c r="B5" t="s">
        <v>28</v>
      </c>
    </row>
    <row r="9" spans="1:10" ht="15.75">
      <c r="A9" s="2" t="s">
        <v>0</v>
      </c>
      <c r="B9" s="2" t="s">
        <v>1</v>
      </c>
      <c r="C9" s="35" t="s">
        <v>2</v>
      </c>
      <c r="D9" s="2" t="s">
        <v>3</v>
      </c>
      <c r="E9" s="2" t="s">
        <v>4</v>
      </c>
      <c r="F9" s="2" t="s">
        <v>5</v>
      </c>
      <c r="G9" s="2" t="s">
        <v>8</v>
      </c>
      <c r="H9" s="2" t="s">
        <v>6</v>
      </c>
      <c r="I9" s="2" t="s">
        <v>7</v>
      </c>
      <c r="J9" s="2" t="s">
        <v>50</v>
      </c>
    </row>
    <row r="10" spans="1:10">
      <c r="A10" s="50">
        <v>0.72569444444444453</v>
      </c>
      <c r="B10" s="1" t="s">
        <v>93</v>
      </c>
      <c r="C10" s="34" t="s">
        <v>167</v>
      </c>
      <c r="D10" s="1" t="s">
        <v>70</v>
      </c>
      <c r="E10" s="1" t="s">
        <v>103</v>
      </c>
      <c r="F10" s="1" t="s">
        <v>98</v>
      </c>
      <c r="G10" t="s">
        <v>232</v>
      </c>
      <c r="H10" s="1" t="s">
        <v>235</v>
      </c>
      <c r="I10" s="1" t="s">
        <v>44</v>
      </c>
      <c r="J10" s="80" t="s">
        <v>179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0941-E623-4569-8E1F-146E6B02015C}">
  <sheetPr codeName="Ark52"/>
  <dimension ref="A1:J14"/>
  <sheetViews>
    <sheetView workbookViewId="0">
      <selection activeCell="A5" sqref="A5:E5"/>
    </sheetView>
  </sheetViews>
  <sheetFormatPr baseColWidth="10" defaultRowHeight="15"/>
  <cols>
    <col min="1" max="1" width="23.7109375" customWidth="1"/>
    <col min="2" max="2" width="30.85546875" customWidth="1"/>
    <col min="3" max="3" width="12.7109375" customWidth="1"/>
    <col min="4" max="4" width="22.5703125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  <col min="10" max="10" width="52.7109375" customWidth="1"/>
  </cols>
  <sheetData>
    <row r="1" spans="1:10" ht="15.75">
      <c r="A1" s="4" t="s">
        <v>9</v>
      </c>
      <c r="B1" s="41">
        <v>42827</v>
      </c>
    </row>
    <row r="3" spans="1:10">
      <c r="A3" s="47" t="s">
        <v>23</v>
      </c>
      <c r="B3" s="47" t="s">
        <v>24</v>
      </c>
      <c r="C3" s="47" t="s">
        <v>6</v>
      </c>
      <c r="D3" s="47" t="s">
        <v>25</v>
      </c>
      <c r="E3" s="47" t="s">
        <v>26</v>
      </c>
    </row>
    <row r="4" spans="1:10">
      <c r="A4" t="s">
        <v>43</v>
      </c>
      <c r="B4" t="s">
        <v>28</v>
      </c>
      <c r="D4">
        <v>41268495</v>
      </c>
    </row>
    <row r="5" spans="1:10">
      <c r="A5" t="s">
        <v>42</v>
      </c>
      <c r="B5" t="s">
        <v>28</v>
      </c>
      <c r="D5">
        <v>46949380</v>
      </c>
    </row>
    <row r="9" spans="1:10" ht="15.75">
      <c r="A9" s="2" t="s">
        <v>0</v>
      </c>
      <c r="B9" s="2" t="s">
        <v>1</v>
      </c>
      <c r="C9" s="35" t="s">
        <v>2</v>
      </c>
      <c r="D9" s="2" t="s">
        <v>3</v>
      </c>
      <c r="E9" s="2" t="s">
        <v>4</v>
      </c>
      <c r="F9" s="2" t="s">
        <v>5</v>
      </c>
      <c r="G9" s="2" t="s">
        <v>8</v>
      </c>
      <c r="H9" s="2" t="s">
        <v>6</v>
      </c>
      <c r="I9" s="2" t="s">
        <v>7</v>
      </c>
      <c r="J9" s="2" t="s">
        <v>50</v>
      </c>
    </row>
    <row r="10" spans="1:10">
      <c r="A10" s="3">
        <v>0.375</v>
      </c>
      <c r="B10" t="s">
        <v>73</v>
      </c>
      <c r="C10" s="36" t="s">
        <v>112</v>
      </c>
      <c r="D10" t="s">
        <v>74</v>
      </c>
      <c r="E10" t="s">
        <v>75</v>
      </c>
      <c r="F10" t="s">
        <v>76</v>
      </c>
      <c r="G10" t="s">
        <v>232</v>
      </c>
      <c r="H10" s="1" t="s">
        <v>237</v>
      </c>
      <c r="I10" s="1" t="s">
        <v>42</v>
      </c>
      <c r="J10" s="80" t="s">
        <v>188</v>
      </c>
    </row>
    <row r="11" spans="1:10">
      <c r="A11" s="3">
        <v>0.3923611111111111</v>
      </c>
      <c r="B11" t="s">
        <v>73</v>
      </c>
      <c r="C11" s="36" t="s">
        <v>115</v>
      </c>
      <c r="D11" t="s">
        <v>74</v>
      </c>
      <c r="E11" t="s">
        <v>81</v>
      </c>
      <c r="F11" t="s">
        <v>82</v>
      </c>
      <c r="G11" t="s">
        <v>232</v>
      </c>
      <c r="H11" s="1" t="s">
        <v>237</v>
      </c>
      <c r="I11" s="1" t="s">
        <v>42</v>
      </c>
      <c r="J11" s="80" t="s">
        <v>188</v>
      </c>
    </row>
    <row r="12" spans="1:10">
      <c r="A12" s="3">
        <v>0.40972222222222227</v>
      </c>
      <c r="B12" t="s">
        <v>73</v>
      </c>
      <c r="C12" s="36" t="s">
        <v>118</v>
      </c>
      <c r="D12" t="s">
        <v>74</v>
      </c>
      <c r="E12" t="s">
        <v>87</v>
      </c>
      <c r="F12" t="s">
        <v>88</v>
      </c>
      <c r="G12" t="s">
        <v>232</v>
      </c>
      <c r="H12" s="1" t="s">
        <v>237</v>
      </c>
      <c r="I12" s="1" t="s">
        <v>42</v>
      </c>
      <c r="J12" s="80" t="s">
        <v>188</v>
      </c>
    </row>
    <row r="13" spans="1:10">
      <c r="A13" s="50">
        <v>0.74305555555555547</v>
      </c>
      <c r="B13" s="1" t="s">
        <v>93</v>
      </c>
      <c r="C13" s="34" t="s">
        <v>170</v>
      </c>
      <c r="D13" s="1" t="s">
        <v>70</v>
      </c>
      <c r="E13" s="1" t="s">
        <v>94</v>
      </c>
      <c r="F13" s="1" t="s">
        <v>68</v>
      </c>
      <c r="G13" t="s">
        <v>232</v>
      </c>
      <c r="H13" s="1" t="s">
        <v>237</v>
      </c>
      <c r="I13" s="1" t="s">
        <v>42</v>
      </c>
      <c r="J13" s="80" t="s">
        <v>188</v>
      </c>
    </row>
    <row r="14" spans="1:10">
      <c r="A14" s="50">
        <v>0.76041666666666663</v>
      </c>
      <c r="B14" s="1" t="s">
        <v>93</v>
      </c>
      <c r="C14" s="34" t="s">
        <v>173</v>
      </c>
      <c r="D14" s="1" t="s">
        <v>70</v>
      </c>
      <c r="E14" s="1" t="s">
        <v>98</v>
      </c>
      <c r="F14" s="1" t="s">
        <v>77</v>
      </c>
      <c r="G14" t="s">
        <v>232</v>
      </c>
      <c r="H14" s="1" t="s">
        <v>237</v>
      </c>
      <c r="I14" s="1" t="s">
        <v>42</v>
      </c>
      <c r="J14" s="80" t="s">
        <v>188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A6E0A-3FDE-4599-8727-5602E9C7B95E}">
  <sheetPr codeName="Ark53"/>
  <dimension ref="A1:J10"/>
  <sheetViews>
    <sheetView workbookViewId="0">
      <selection activeCell="A5" sqref="A5:E5"/>
    </sheetView>
  </sheetViews>
  <sheetFormatPr baseColWidth="10" defaultRowHeight="15"/>
  <cols>
    <col min="1" max="1" width="23.7109375" customWidth="1"/>
    <col min="2" max="2" width="30.85546875" customWidth="1"/>
    <col min="3" max="3" width="12.7109375" customWidth="1"/>
    <col min="4" max="4" width="22.5703125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  <col min="10" max="10" width="52.7109375" customWidth="1"/>
  </cols>
  <sheetData>
    <row r="1" spans="1:10" ht="15.75">
      <c r="A1" s="4" t="s">
        <v>9</v>
      </c>
      <c r="B1" s="41">
        <v>42827</v>
      </c>
    </row>
    <row r="3" spans="1:10">
      <c r="A3" s="47" t="s">
        <v>23</v>
      </c>
      <c r="B3" s="47" t="s">
        <v>24</v>
      </c>
      <c r="C3" s="47" t="s">
        <v>6</v>
      </c>
      <c r="D3" s="47" t="s">
        <v>25</v>
      </c>
      <c r="E3" s="47" t="s">
        <v>26</v>
      </c>
    </row>
    <row r="4" spans="1:10">
      <c r="A4" t="s">
        <v>43</v>
      </c>
      <c r="B4" t="s">
        <v>28</v>
      </c>
      <c r="D4">
        <v>41268495</v>
      </c>
    </row>
    <row r="5" spans="1:10">
      <c r="A5" t="s">
        <v>44</v>
      </c>
      <c r="B5" t="s">
        <v>28</v>
      </c>
    </row>
    <row r="9" spans="1:10" ht="15.75">
      <c r="A9" s="2" t="s">
        <v>0</v>
      </c>
      <c r="B9" s="2" t="s">
        <v>1</v>
      </c>
      <c r="C9" s="35" t="s">
        <v>2</v>
      </c>
      <c r="D9" s="2" t="s">
        <v>3</v>
      </c>
      <c r="E9" s="2" t="s">
        <v>4</v>
      </c>
      <c r="F9" s="2" t="s">
        <v>5</v>
      </c>
      <c r="G9" s="2" t="s">
        <v>8</v>
      </c>
      <c r="H9" s="2" t="s">
        <v>6</v>
      </c>
      <c r="I9" s="2" t="s">
        <v>7</v>
      </c>
      <c r="J9" s="2" t="s">
        <v>50</v>
      </c>
    </row>
    <row r="10" spans="1:10">
      <c r="A10" s="3">
        <v>0.42708333333333331</v>
      </c>
      <c r="B10" t="s">
        <v>73</v>
      </c>
      <c r="C10" s="36" t="s">
        <v>121</v>
      </c>
      <c r="D10" t="s">
        <v>74</v>
      </c>
      <c r="E10" t="s">
        <v>91</v>
      </c>
      <c r="F10" t="s">
        <v>92</v>
      </c>
      <c r="G10" t="s">
        <v>232</v>
      </c>
      <c r="H10" s="1" t="s">
        <v>237</v>
      </c>
      <c r="I10" s="1" t="s">
        <v>44</v>
      </c>
      <c r="J10" s="80" t="s">
        <v>184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789BF-35AB-42D3-9466-1CABE70A0837}">
  <sheetPr codeName="Ark54"/>
  <dimension ref="A1:J10"/>
  <sheetViews>
    <sheetView workbookViewId="0">
      <selection activeCell="A5" sqref="A5:E5"/>
    </sheetView>
  </sheetViews>
  <sheetFormatPr baseColWidth="10" defaultRowHeight="15"/>
  <cols>
    <col min="1" max="1" width="23.7109375" customWidth="1"/>
    <col min="2" max="2" width="30.85546875" customWidth="1"/>
    <col min="3" max="3" width="12.7109375" customWidth="1"/>
    <col min="4" max="4" width="22.5703125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  <col min="10" max="10" width="52.7109375" customWidth="1"/>
  </cols>
  <sheetData>
    <row r="1" spans="1:10" ht="15.75">
      <c r="A1" s="4" t="s">
        <v>9</v>
      </c>
      <c r="B1" s="41">
        <v>42827</v>
      </c>
    </row>
    <row r="3" spans="1:10">
      <c r="A3" s="47" t="s">
        <v>23</v>
      </c>
      <c r="B3" s="47" t="s">
        <v>24</v>
      </c>
      <c r="C3" s="47" t="s">
        <v>6</v>
      </c>
      <c r="D3" s="47" t="s">
        <v>25</v>
      </c>
      <c r="E3" s="47" t="s">
        <v>26</v>
      </c>
    </row>
    <row r="5" spans="1:10">
      <c r="A5" t="s">
        <v>44</v>
      </c>
      <c r="B5" t="s">
        <v>28</v>
      </c>
    </row>
    <row r="9" spans="1:10" ht="15.75">
      <c r="A9" s="2" t="s">
        <v>0</v>
      </c>
      <c r="B9" s="2" t="s">
        <v>1</v>
      </c>
      <c r="C9" s="35" t="s">
        <v>2</v>
      </c>
      <c r="D9" s="2" t="s">
        <v>3</v>
      </c>
      <c r="E9" s="2" t="s">
        <v>4</v>
      </c>
      <c r="F9" s="2" t="s">
        <v>5</v>
      </c>
      <c r="G9" s="2" t="s">
        <v>8</v>
      </c>
      <c r="H9" s="2" t="s">
        <v>6</v>
      </c>
      <c r="I9" s="2" t="s">
        <v>7</v>
      </c>
      <c r="J9" s="2" t="s">
        <v>50</v>
      </c>
    </row>
    <row r="10" spans="1:10">
      <c r="A10" s="3">
        <v>0.44444444444444442</v>
      </c>
      <c r="B10" t="s">
        <v>73</v>
      </c>
      <c r="C10" s="36" t="s">
        <v>124</v>
      </c>
      <c r="D10" t="s">
        <v>74</v>
      </c>
      <c r="E10" t="s">
        <v>75</v>
      </c>
      <c r="F10" t="s">
        <v>82</v>
      </c>
      <c r="G10" t="s">
        <v>232</v>
      </c>
      <c r="H10" s="1" t="s">
        <v>238</v>
      </c>
      <c r="I10" s="1" t="s">
        <v>44</v>
      </c>
      <c r="J10" s="80" t="s">
        <v>178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4AC55-391F-4E75-BE79-DDD6419F2BBF}">
  <sheetPr codeName="Ark55"/>
  <dimension ref="A1:J15"/>
  <sheetViews>
    <sheetView workbookViewId="0">
      <selection activeCell="I10" sqref="I10"/>
    </sheetView>
  </sheetViews>
  <sheetFormatPr baseColWidth="10" defaultRowHeight="15"/>
  <cols>
    <col min="1" max="1" width="23.7109375" customWidth="1"/>
    <col min="2" max="2" width="30.85546875" customWidth="1"/>
    <col min="3" max="3" width="12.7109375" customWidth="1"/>
    <col min="4" max="4" width="22.5703125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  <col min="10" max="10" width="52.7109375" customWidth="1"/>
  </cols>
  <sheetData>
    <row r="1" spans="1:10" ht="15.75">
      <c r="A1" s="4" t="s">
        <v>9</v>
      </c>
      <c r="B1" s="41">
        <v>42827</v>
      </c>
    </row>
    <row r="3" spans="1:10">
      <c r="A3" s="47" t="s">
        <v>23</v>
      </c>
      <c r="B3" s="47" t="s">
        <v>24</v>
      </c>
      <c r="C3" s="47" t="s">
        <v>6</v>
      </c>
      <c r="D3" s="47" t="s">
        <v>25</v>
      </c>
      <c r="E3" s="47" t="s">
        <v>26</v>
      </c>
    </row>
    <row r="4" spans="1:10">
      <c r="A4" t="s">
        <v>42</v>
      </c>
      <c r="B4" t="s">
        <v>28</v>
      </c>
      <c r="D4">
        <v>46949380</v>
      </c>
    </row>
    <row r="9" spans="1:10" ht="15.75">
      <c r="A9" s="2" t="s">
        <v>0</v>
      </c>
      <c r="B9" s="2" t="s">
        <v>1</v>
      </c>
      <c r="C9" s="35" t="s">
        <v>2</v>
      </c>
      <c r="D9" s="2" t="s">
        <v>3</v>
      </c>
      <c r="E9" s="2" t="s">
        <v>4</v>
      </c>
      <c r="F9" s="2" t="s">
        <v>5</v>
      </c>
      <c r="G9" s="2" t="s">
        <v>8</v>
      </c>
      <c r="H9" s="2" t="s">
        <v>6</v>
      </c>
      <c r="I9" s="2" t="s">
        <v>7</v>
      </c>
      <c r="J9" s="2" t="s">
        <v>50</v>
      </c>
    </row>
    <row r="10" spans="1:10">
      <c r="A10" s="3">
        <v>0.46180555555555558</v>
      </c>
      <c r="B10" t="s">
        <v>73</v>
      </c>
      <c r="C10" s="36" t="s">
        <v>127</v>
      </c>
      <c r="D10" t="s">
        <v>74</v>
      </c>
      <c r="E10" t="s">
        <v>76</v>
      </c>
      <c r="F10" t="s">
        <v>81</v>
      </c>
      <c r="G10" t="s">
        <v>232</v>
      </c>
      <c r="H10" s="1" t="s">
        <v>239</v>
      </c>
      <c r="I10" s="1" t="s">
        <v>240</v>
      </c>
      <c r="J10" s="80" t="s">
        <v>187</v>
      </c>
    </row>
    <row r="11" spans="1:10">
      <c r="A11" s="3">
        <v>0.47916666666666669</v>
      </c>
      <c r="B11" t="s">
        <v>73</v>
      </c>
      <c r="C11" s="36" t="s">
        <v>130</v>
      </c>
      <c r="D11" t="s">
        <v>74</v>
      </c>
      <c r="E11" t="s">
        <v>92</v>
      </c>
      <c r="F11" t="s">
        <v>87</v>
      </c>
      <c r="G11" t="s">
        <v>232</v>
      </c>
      <c r="H11" s="1" t="s">
        <v>239</v>
      </c>
      <c r="I11" s="1" t="s">
        <v>240</v>
      </c>
      <c r="J11" s="80" t="s">
        <v>187</v>
      </c>
    </row>
    <row r="12" spans="1:10">
      <c r="A12" s="3">
        <v>0.50694444444444442</v>
      </c>
      <c r="B12" t="s">
        <v>73</v>
      </c>
      <c r="C12" s="36" t="s">
        <v>133</v>
      </c>
      <c r="D12" t="s">
        <v>74</v>
      </c>
      <c r="E12" t="s">
        <v>88</v>
      </c>
      <c r="F12" t="s">
        <v>91</v>
      </c>
      <c r="G12" t="s">
        <v>232</v>
      </c>
      <c r="H12" s="1" t="s">
        <v>239</v>
      </c>
      <c r="I12" s="1" t="s">
        <v>240</v>
      </c>
      <c r="J12" s="80" t="s">
        <v>187</v>
      </c>
    </row>
    <row r="13" spans="1:10">
      <c r="A13" s="3">
        <v>0.52430555555555558</v>
      </c>
      <c r="B13" t="s">
        <v>73</v>
      </c>
      <c r="C13" s="36" t="s">
        <v>136</v>
      </c>
      <c r="D13" t="s">
        <v>74</v>
      </c>
      <c r="E13" t="s">
        <v>82</v>
      </c>
      <c r="F13" t="s">
        <v>76</v>
      </c>
      <c r="G13" t="s">
        <v>232</v>
      </c>
      <c r="H13" s="1" t="s">
        <v>239</v>
      </c>
      <c r="I13" s="1" t="s">
        <v>240</v>
      </c>
      <c r="J13" s="80" t="s">
        <v>187</v>
      </c>
    </row>
    <row r="14" spans="1:10" ht="15.75" thickBot="1">
      <c r="A14" s="81">
        <v>0.54166666666666663</v>
      </c>
      <c r="B14" t="s">
        <v>73</v>
      </c>
      <c r="C14" s="36" t="s">
        <v>139</v>
      </c>
      <c r="D14" t="s">
        <v>74</v>
      </c>
      <c r="E14" t="s">
        <v>81</v>
      </c>
      <c r="F14" t="s">
        <v>75</v>
      </c>
      <c r="G14" t="s">
        <v>232</v>
      </c>
      <c r="H14" s="1" t="s">
        <v>239</v>
      </c>
      <c r="I14" s="1" t="s">
        <v>240</v>
      </c>
      <c r="J14" s="80" t="s">
        <v>187</v>
      </c>
    </row>
    <row r="15" spans="1:10">
      <c r="A15" s="51">
        <v>0.55902777777777779</v>
      </c>
      <c r="B15" t="s">
        <v>73</v>
      </c>
      <c r="C15" s="36" t="s">
        <v>142</v>
      </c>
      <c r="D15" t="s">
        <v>74</v>
      </c>
      <c r="E15" t="s">
        <v>88</v>
      </c>
      <c r="F15" t="s">
        <v>92</v>
      </c>
      <c r="G15" t="s">
        <v>232</v>
      </c>
      <c r="H15" s="1" t="s">
        <v>239</v>
      </c>
      <c r="I15" s="1" t="s">
        <v>240</v>
      </c>
      <c r="J15" s="80" t="s">
        <v>187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6E003-67A1-448A-A309-061C59FD7D0E}">
  <sheetPr codeName="Ark56"/>
  <dimension ref="A1:J10"/>
  <sheetViews>
    <sheetView workbookViewId="0">
      <selection activeCell="A5" sqref="A5:E5"/>
    </sheetView>
  </sheetViews>
  <sheetFormatPr baseColWidth="10" defaultRowHeight="15"/>
  <cols>
    <col min="1" max="1" width="23.7109375" customWidth="1"/>
    <col min="2" max="2" width="30.85546875" customWidth="1"/>
    <col min="3" max="3" width="12.7109375" customWidth="1"/>
    <col min="4" max="4" width="22.5703125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  <col min="10" max="10" width="52.7109375" customWidth="1"/>
  </cols>
  <sheetData>
    <row r="1" spans="1:10" ht="15.75">
      <c r="A1" s="4" t="s">
        <v>9</v>
      </c>
      <c r="B1" s="41">
        <v>42827</v>
      </c>
    </row>
    <row r="3" spans="1:10">
      <c r="A3" s="47" t="s">
        <v>23</v>
      </c>
      <c r="B3" s="47" t="s">
        <v>24</v>
      </c>
      <c r="C3" s="47" t="s">
        <v>6</v>
      </c>
      <c r="D3" s="47" t="s">
        <v>25</v>
      </c>
      <c r="E3" s="47" t="s">
        <v>26</v>
      </c>
    </row>
    <row r="4" spans="1:10">
      <c r="A4" t="s">
        <v>42</v>
      </c>
      <c r="B4" t="s">
        <v>28</v>
      </c>
      <c r="D4">
        <v>46949380</v>
      </c>
    </row>
    <row r="5" spans="1:10">
      <c r="A5" t="s">
        <v>44</v>
      </c>
      <c r="B5" t="s">
        <v>28</v>
      </c>
    </row>
    <row r="9" spans="1:10" ht="15.75">
      <c r="A9" s="2" t="s">
        <v>0</v>
      </c>
      <c r="B9" s="2" t="s">
        <v>1</v>
      </c>
      <c r="C9" s="35" t="s">
        <v>2</v>
      </c>
      <c r="D9" s="2" t="s">
        <v>3</v>
      </c>
      <c r="E9" s="2" t="s">
        <v>4</v>
      </c>
      <c r="F9" s="2" t="s">
        <v>5</v>
      </c>
      <c r="G9" s="2" t="s">
        <v>8</v>
      </c>
      <c r="H9" s="2" t="s">
        <v>6</v>
      </c>
      <c r="I9" s="2" t="s">
        <v>7</v>
      </c>
      <c r="J9" s="2" t="s">
        <v>50</v>
      </c>
    </row>
    <row r="10" spans="1:10">
      <c r="A10" s="51">
        <v>0.57638888888888895</v>
      </c>
      <c r="B10" t="s">
        <v>73</v>
      </c>
      <c r="C10" s="36" t="s">
        <v>143</v>
      </c>
      <c r="D10" t="s">
        <v>74</v>
      </c>
      <c r="E10" t="s">
        <v>91</v>
      </c>
      <c r="F10" t="s">
        <v>87</v>
      </c>
      <c r="G10" t="s">
        <v>232</v>
      </c>
      <c r="H10" s="1" t="s">
        <v>239</v>
      </c>
      <c r="I10" s="1" t="s">
        <v>44</v>
      </c>
      <c r="J10" s="80" t="s">
        <v>185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4DEAA-5BB7-4B33-A620-AC8022CEE9B7}">
  <sheetPr codeName="Ark57"/>
  <dimension ref="A1:J20"/>
  <sheetViews>
    <sheetView workbookViewId="0">
      <selection activeCell="I10" sqref="I10"/>
    </sheetView>
  </sheetViews>
  <sheetFormatPr baseColWidth="10" defaultRowHeight="15"/>
  <cols>
    <col min="1" max="1" width="23.7109375" customWidth="1"/>
    <col min="2" max="2" width="30.85546875" customWidth="1"/>
    <col min="3" max="3" width="12.7109375" customWidth="1"/>
    <col min="4" max="4" width="22.5703125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  <col min="10" max="10" width="52.7109375" customWidth="1"/>
  </cols>
  <sheetData>
    <row r="1" spans="1:10" ht="15.75">
      <c r="A1" s="4" t="s">
        <v>9</v>
      </c>
      <c r="B1" s="41">
        <v>42827</v>
      </c>
    </row>
    <row r="3" spans="1:10">
      <c r="A3" s="47" t="s">
        <v>23</v>
      </c>
      <c r="B3" s="47" t="s">
        <v>24</v>
      </c>
      <c r="C3" s="47" t="s">
        <v>6</v>
      </c>
      <c r="D3" s="47" t="s">
        <v>25</v>
      </c>
      <c r="E3" s="47" t="s">
        <v>26</v>
      </c>
    </row>
    <row r="9" spans="1:10" ht="15.75">
      <c r="A9" s="2" t="s">
        <v>0</v>
      </c>
      <c r="B9" s="2" t="s">
        <v>1</v>
      </c>
      <c r="C9" s="35" t="s">
        <v>2</v>
      </c>
      <c r="D9" s="2" t="s">
        <v>3</v>
      </c>
      <c r="E9" s="2" t="s">
        <v>4</v>
      </c>
      <c r="F9" s="2" t="s">
        <v>5</v>
      </c>
      <c r="G9" s="2" t="s">
        <v>8</v>
      </c>
      <c r="H9" s="2" t="s">
        <v>6</v>
      </c>
      <c r="I9" s="2" t="s">
        <v>7</v>
      </c>
      <c r="J9" s="2" t="s">
        <v>50</v>
      </c>
    </row>
    <row r="10" spans="1:10">
      <c r="A10" s="51">
        <v>0.59375</v>
      </c>
      <c r="B10" t="s">
        <v>99</v>
      </c>
      <c r="C10" s="36" t="s">
        <v>147</v>
      </c>
      <c r="D10" t="s">
        <v>74</v>
      </c>
      <c r="E10" t="s">
        <v>100</v>
      </c>
      <c r="F10" t="s">
        <v>101</v>
      </c>
      <c r="G10" t="s">
        <v>232</v>
      </c>
      <c r="H10" s="1" t="s">
        <v>241</v>
      </c>
      <c r="I10" s="1" t="s">
        <v>242</v>
      </c>
      <c r="J10" s="80" t="s">
        <v>182</v>
      </c>
    </row>
    <row r="11" spans="1:10">
      <c r="A11" s="51">
        <v>0.61111111111111105</v>
      </c>
      <c r="B11" t="s">
        <v>99</v>
      </c>
      <c r="C11" s="36" t="s">
        <v>150</v>
      </c>
      <c r="D11" t="s">
        <v>74</v>
      </c>
      <c r="E11" t="s">
        <v>104</v>
      </c>
      <c r="F11" t="s">
        <v>102</v>
      </c>
      <c r="G11" t="s">
        <v>232</v>
      </c>
      <c r="H11" s="1" t="s">
        <v>241</v>
      </c>
      <c r="I11" s="1" t="s">
        <v>242</v>
      </c>
      <c r="J11" s="80" t="s">
        <v>182</v>
      </c>
    </row>
    <row r="12" spans="1:10">
      <c r="A12" s="51">
        <v>0.62847222222222221</v>
      </c>
      <c r="B12" t="s">
        <v>99</v>
      </c>
      <c r="C12" s="36" t="s">
        <v>153</v>
      </c>
      <c r="D12" t="s">
        <v>74</v>
      </c>
      <c r="E12" t="s">
        <v>106</v>
      </c>
      <c r="F12" t="s">
        <v>107</v>
      </c>
      <c r="G12" t="s">
        <v>232</v>
      </c>
      <c r="H12" s="1" t="s">
        <v>241</v>
      </c>
      <c r="I12" s="1" t="s">
        <v>242</v>
      </c>
      <c r="J12" s="80" t="s">
        <v>182</v>
      </c>
    </row>
    <row r="13" spans="1:10">
      <c r="A13" s="51">
        <v>0.64583333333333337</v>
      </c>
      <c r="B13" t="s">
        <v>99</v>
      </c>
      <c r="C13" s="36" t="s">
        <v>156</v>
      </c>
      <c r="D13" t="s">
        <v>74</v>
      </c>
      <c r="E13" t="s">
        <v>109</v>
      </c>
      <c r="F13" t="s">
        <v>104</v>
      </c>
      <c r="G13" t="s">
        <v>232</v>
      </c>
      <c r="H13" s="1" t="s">
        <v>241</v>
      </c>
      <c r="I13" s="1" t="s">
        <v>242</v>
      </c>
      <c r="J13" s="80" t="s">
        <v>182</v>
      </c>
    </row>
    <row r="14" spans="1:10">
      <c r="A14" s="51">
        <v>0.66319444444444442</v>
      </c>
      <c r="B14" t="s">
        <v>99</v>
      </c>
      <c r="C14" s="36" t="s">
        <v>159</v>
      </c>
      <c r="D14" t="s">
        <v>74</v>
      </c>
      <c r="E14" t="s">
        <v>101</v>
      </c>
      <c r="F14" t="s">
        <v>106</v>
      </c>
      <c r="G14" t="s">
        <v>232</v>
      </c>
      <c r="H14" s="1" t="s">
        <v>241</v>
      </c>
      <c r="I14" s="1" t="s">
        <v>242</v>
      </c>
      <c r="J14" s="80" t="s">
        <v>182</v>
      </c>
    </row>
    <row r="15" spans="1:10">
      <c r="A15" s="51">
        <v>0.68055555555555547</v>
      </c>
      <c r="B15" t="s">
        <v>99</v>
      </c>
      <c r="C15" s="36" t="s">
        <v>162</v>
      </c>
      <c r="D15" t="s">
        <v>74</v>
      </c>
      <c r="E15" t="s">
        <v>102</v>
      </c>
      <c r="F15" t="s">
        <v>100</v>
      </c>
      <c r="G15" t="s">
        <v>232</v>
      </c>
      <c r="H15" s="1" t="s">
        <v>241</v>
      </c>
      <c r="I15" s="1" t="s">
        <v>242</v>
      </c>
      <c r="J15" s="80" t="s">
        <v>182</v>
      </c>
    </row>
    <row r="16" spans="1:10">
      <c r="A16" s="79">
        <v>0.69791666666666663</v>
      </c>
      <c r="B16" s="1" t="s">
        <v>99</v>
      </c>
      <c r="C16" s="34" t="s">
        <v>165</v>
      </c>
      <c r="D16" s="1" t="s">
        <v>74</v>
      </c>
      <c r="E16" s="1" t="s">
        <v>104</v>
      </c>
      <c r="F16" s="1" t="s">
        <v>107</v>
      </c>
      <c r="G16" t="s">
        <v>232</v>
      </c>
      <c r="H16" s="1" t="s">
        <v>241</v>
      </c>
      <c r="I16" s="1" t="s">
        <v>242</v>
      </c>
      <c r="J16" s="80" t="s">
        <v>182</v>
      </c>
    </row>
    <row r="17" spans="1:10">
      <c r="A17" s="79">
        <v>0.72569444444444453</v>
      </c>
      <c r="B17" s="1" t="s">
        <v>99</v>
      </c>
      <c r="C17" s="34" t="s">
        <v>168</v>
      </c>
      <c r="D17" s="1" t="s">
        <v>74</v>
      </c>
      <c r="E17" s="1" t="s">
        <v>100</v>
      </c>
      <c r="F17" s="1" t="s">
        <v>109</v>
      </c>
      <c r="G17" t="s">
        <v>232</v>
      </c>
      <c r="H17" s="1" t="s">
        <v>241</v>
      </c>
      <c r="I17" s="1" t="s">
        <v>242</v>
      </c>
      <c r="J17" s="80" t="s">
        <v>182</v>
      </c>
    </row>
    <row r="18" spans="1:10">
      <c r="A18" s="79">
        <v>0.74305555555555547</v>
      </c>
      <c r="B18" s="1" t="s">
        <v>99</v>
      </c>
      <c r="C18" s="34" t="s">
        <v>171</v>
      </c>
      <c r="D18" s="1" t="s">
        <v>74</v>
      </c>
      <c r="E18" s="1" t="s">
        <v>106</v>
      </c>
      <c r="F18" s="1" t="s">
        <v>102</v>
      </c>
      <c r="G18" t="s">
        <v>232</v>
      </c>
      <c r="H18" s="1" t="s">
        <v>241</v>
      </c>
      <c r="I18" s="1" t="s">
        <v>242</v>
      </c>
      <c r="J18" s="80" t="s">
        <v>182</v>
      </c>
    </row>
    <row r="19" spans="1:10">
      <c r="A19" s="39">
        <v>0.76041666666666663</v>
      </c>
      <c r="B19" s="1" t="s">
        <v>99</v>
      </c>
      <c r="C19" s="34" t="s">
        <v>174</v>
      </c>
      <c r="D19" s="1" t="s">
        <v>74</v>
      </c>
      <c r="E19" s="1" t="s">
        <v>101</v>
      </c>
      <c r="F19" s="1" t="s">
        <v>107</v>
      </c>
      <c r="G19" t="s">
        <v>232</v>
      </c>
      <c r="H19" s="1" t="s">
        <v>241</v>
      </c>
      <c r="I19" s="1" t="s">
        <v>242</v>
      </c>
      <c r="J19" s="80" t="s">
        <v>182</v>
      </c>
    </row>
    <row r="20" spans="1:10">
      <c r="A20" s="79">
        <v>0.77777777777777779</v>
      </c>
      <c r="B20" s="1" t="s">
        <v>99</v>
      </c>
      <c r="C20" s="34" t="s">
        <v>176</v>
      </c>
      <c r="D20" s="1" t="s">
        <v>74</v>
      </c>
      <c r="E20" s="1" t="s">
        <v>102</v>
      </c>
      <c r="F20" s="1" t="s">
        <v>109</v>
      </c>
      <c r="G20" t="s">
        <v>232</v>
      </c>
      <c r="H20" s="1" t="s">
        <v>241</v>
      </c>
      <c r="I20" s="1" t="s">
        <v>242</v>
      </c>
      <c r="J20" s="80" t="s">
        <v>182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22</vt:i4>
      </vt:variant>
      <vt:variant>
        <vt:lpstr>Navngitte områder</vt:lpstr>
      </vt:variant>
      <vt:variant>
        <vt:i4>4</vt:i4>
      </vt:variant>
    </vt:vector>
  </HeadingPairs>
  <TitlesOfParts>
    <vt:vector size="26" baseType="lpstr">
      <vt:lpstr>Hjelp</vt:lpstr>
      <vt:lpstr>Grunndata</vt:lpstr>
      <vt:lpstr>Sheet1</vt:lpstr>
      <vt:lpstr>Kamprapport mal</vt:lpstr>
      <vt:lpstr>Kvittering mal</vt:lpstr>
      <vt:lpstr>Deltakerliste 6 mal</vt:lpstr>
      <vt:lpstr>Deltakerliste 4 mal</vt:lpstr>
      <vt:lpstr>Dommere</vt:lpstr>
      <vt:lpstr>dommerpar 1</vt:lpstr>
      <vt:lpstr>dommerpar 2</vt:lpstr>
      <vt:lpstr>dommerpar 3</vt:lpstr>
      <vt:lpstr>dommerpar 4</vt:lpstr>
      <vt:lpstr>dommerpar 5</vt:lpstr>
      <vt:lpstr>dommerpar 6</vt:lpstr>
      <vt:lpstr>dommerpar 7</vt:lpstr>
      <vt:lpstr>dommerpar 8</vt:lpstr>
      <vt:lpstr>dommerpar 9</vt:lpstr>
      <vt:lpstr>dommerpar 10</vt:lpstr>
      <vt:lpstr>dommerpar 11</vt:lpstr>
      <vt:lpstr>dommerpar 12</vt:lpstr>
      <vt:lpstr>dommerpar 13</vt:lpstr>
      <vt:lpstr>dommerpar 14</vt:lpstr>
      <vt:lpstr>'Deltakerliste 4 mal'!Utskriftsområde</vt:lpstr>
      <vt:lpstr>'Deltakerliste 6 mal'!Utskriftsområde</vt:lpstr>
      <vt:lpstr>'Kamprapport mal'!Utskriftsområde</vt:lpstr>
      <vt:lpstr>'Kvittering mal'!Utskriftsområde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cp:lastPrinted>2017-10-02T07:38:01Z</cp:lastPrinted>
  <dcterms:created xsi:type="dcterms:W3CDTF">2017-02-16T05:22:27Z</dcterms:created>
  <dcterms:modified xsi:type="dcterms:W3CDTF">2017-10-02T08:24:53Z</dcterms:modified>
</cp:coreProperties>
</file>