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firstSheet="8" activeTab="16"/>
  </bookViews>
  <sheets>
    <sheet name="Hjelp" sheetId="200" r:id="rId1"/>
    <sheet name="Grunndata" sheetId="1" r:id="rId2"/>
    <sheet name="Kamprapport mal" sheetId="43" r:id="rId3"/>
    <sheet name="Dommere" sheetId="199" r:id="rId4"/>
    <sheet name="Kvitering mal" sheetId="236" r:id="rId5"/>
    <sheet name="Slagenhallen 1" sheetId="238" r:id="rId6"/>
    <sheet name="Slagenhallen 2" sheetId="239" r:id="rId7"/>
    <sheet name="Slagenhallen 3" sheetId="240" r:id="rId8"/>
    <sheet name="Kamprapport bane 1  G10 ( s1 )" sheetId="242" r:id="rId9"/>
    <sheet name="Kamprapport bane 1  G9  ( s1 )" sheetId="244" r:id="rId10"/>
    <sheet name="Kamprapport bane 2  G10 ( s1 )" sheetId="246" r:id="rId11"/>
    <sheet name="Kamprapport bane 2  G9  ( s1 )" sheetId="248" r:id="rId12"/>
    <sheet name="Kamprapport bane 3  G9  ( s1 )" sheetId="251" r:id="rId13"/>
    <sheet name="Kamprapport bane 3  G9  ( s2 )" sheetId="252" r:id="rId14"/>
    <sheet name="Lag  G10" sheetId="254" r:id="rId15"/>
    <sheet name="Lag  G9 " sheetId="256" r:id="rId16"/>
    <sheet name="Kvitering mal (2)" sheetId="258" r:id="rId17"/>
  </sheets>
  <functionGroups builtInGroupCount="18"/>
  <definedNames>
    <definedName name="_xlnm._FilterDatabase" localSheetId="1" hidden="1">Grunndata!$E$5:$I$72</definedName>
    <definedName name="_xlnm._FilterDatabase" localSheetId="14" hidden="1">'Lag  G10'!$A$2:$E$10</definedName>
    <definedName name="_xlnm._FilterDatabase" localSheetId="15" hidden="1">'Lag  G9 '!$A$2:$E$19</definedName>
    <definedName name="_xlnm.Print_Area" localSheetId="8">'Kamprapport bane 1  G10 ( s1 )'!$A$1:$I$24</definedName>
    <definedName name="_xlnm.Print_Area" localSheetId="9">'Kamprapport bane 1  G9  ( s1 )'!$A$1:$I$24</definedName>
    <definedName name="_xlnm.Print_Area" localSheetId="10">'Kamprapport bane 2  G10 ( s1 )'!$A$1:$I$24</definedName>
    <definedName name="_xlnm.Print_Area" localSheetId="11">'Kamprapport bane 2  G9  ( s1 )'!$A$1:$I$24</definedName>
    <definedName name="_xlnm.Print_Area" localSheetId="12">'Kamprapport bane 3  G9  ( s1 )'!$A$1:$I$24</definedName>
    <definedName name="_xlnm.Print_Area" localSheetId="13">'Kamprapport bane 3  G9  ( s2 )'!$A$1:$I$24</definedName>
    <definedName name="_xlnm.Print_Area" localSheetId="2">'Kamprapport mal'!$A$1:$I$24</definedName>
    <definedName name="_xlnm.Print_Area" localSheetId="4">'Kvitering mal'!$A$1:$I$33</definedName>
    <definedName name="_xlnm.Print_Area" localSheetId="16">'Kvitering mal (2)'!$A$1:$I$33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258" l="1"/>
  <c r="A27" i="258"/>
  <c r="H19" i="258"/>
  <c r="B10" i="258"/>
  <c r="B8" i="258"/>
  <c r="B5" i="258"/>
  <c r="A3" i="258"/>
  <c r="A3" i="236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<sst xmlns="http://schemas.openxmlformats.org/spreadsheetml/2006/main" count="1479" uniqueCount="278">
  <si>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</si>
  <si>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</si>
  <si>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</si>
  <si>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</si>
  <si>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</si>
  <si>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</si>
  <si>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</si>
  <si>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</si>
  <si>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</si>
  <si>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</si>
  <si>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</si>
  <si>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</si>
  <si>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</si>
  <si>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</si>
  <si>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</si>
  <si>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</si>
  <si>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</si>
  <si>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</si>
  <si>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</si>
  <si>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</si>
  <si>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</si>
  <si>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</si>
  <si>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</si>
  <si>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</si>
  <si>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</si>
  <si>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</si>
  <si>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</si>
  <si>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</si>
  <si>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</si>
  <si>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</si>
  <si>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</si>
  <si>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</si>
  <si>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</si>
  <si>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</si>
  <si>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</si>
  <si>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</si>
  <si>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</si>
  <si>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</si>
  <si>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</si>
  <si>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</si>
  <si>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</si>
  <si>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</si>
  <si>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</si>
  <si>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</si>
  <si>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</si>
  <si>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</si>
  <si>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</si>
  <si>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</si>
  <si>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</si>
  <si>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</si>
  <si>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</si>
  <si>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</si>
  <si>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</si>
  <si>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</si>
  <si>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</si>
  <si>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</si>
  <si>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</si>
  <si>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</si>
  <si>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</si>
  <si>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</si>
  <si>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</si>
  <si>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</si>
  <si>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</si>
  <si>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</si>
  <si>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</si>
  <si>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</si>
  <si>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</si>
  <si>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</si>
  <si>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</si>
  <si>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</si>
  <si>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</si>
  <si>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</si>
  <si>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</si>
  <si>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</si>
  <si>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</si>
  <si>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</si>
  <si>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</si>
  <si>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</si>
  <si>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</si>
  <si>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</si>
  <si>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</si>
  <si>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</si>
  <si>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</si>
  <si>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</si>
  <si>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</si>
  <si>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</si>
  <si>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</si>
  <si>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</si>
  <si>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</si>
  <si>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</si>
  <si>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</si>
  <si>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</si>
  <si>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</si>
  <si>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</si>
  <si>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</si>
  <si>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</si>
  <si>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</si>
  <si>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</si>
  <si>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</si>
  <si>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</si>
  <si>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</si>
  <si>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</si>
  <si>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</si>
  <si>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</si>
  <si>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</si>
  <si>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</si>
  <si>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</si>
  <si>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</si>
  <si>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</si>
  <si>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</si>
  <si>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</si>
  <si>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</si>
  <si>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</si>
  <si>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</si>
  <si>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</si>
  <si>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</si>
  <si>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</si>
  <si>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</si>
  <si>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</si>
  <si>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</si>
  <si>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</si>
  <si>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</si>
  <si>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</si>
  <si>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</si>
  <si>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</si>
  <si>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</si>
  <si>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</si>
  <si>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</si>
  <si>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</si>
  <si>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</si>
  <si>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</si>
  <si>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</si>
  <si>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</si>
  <si>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</si>
  <si>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</si>
  <si>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</si>
  <si>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</si>
  <si>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</si>
  <si>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</si>
  <si>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</si>
  <si>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</si>
  <si>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</si>
  <si>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</si>
  <si>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</si>
  <si>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</si>
  <si>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</si>
  <si>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</si>
  <si>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</si>
  <si>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</si>
  <si>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</si>
  <si>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</si>
  <si>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</si>
  <si>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</si>
  <si>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</si>
  <si>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</si>
  <si>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</si>
  <si>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</si>
  <si>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</si>
  <si>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</si>
  <si>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</si>
  <si>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</si>
  <si>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</si>
  <si>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</si>
  <si>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</si>
  <si>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</si>
  <si>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</si>
  <si>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</si>
  <si>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</si>
  <si>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</si>
  <si>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</si>
  <si>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</si>
  <si>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</si>
  <si>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</si>
  <si>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</si>
  <si>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</si>
  <si>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</si>
  <si>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</si>
  <si>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</si>
  <si>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</si>
  <si>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</si>
  <si>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</si>
  <si>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</si>
  <si>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</si>
  <si>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</si>
  <si>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</si>
  <si>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</si>
  <si>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</si>
  <si>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</si>
  <si>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</si>
  <si>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</si>
  <si>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</si>
  <si>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</si>
  <si>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</si>
  <si>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</si>
  <si>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</si>
  <si>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</si>
  <si>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 40 kr =</t>
  </si>
  <si>
    <t>Antall kamper med to dommere</t>
  </si>
  <si>
    <t>a 80 kr =</t>
  </si>
  <si>
    <t xml:space="preserve">Total dommerkostnader: </t>
  </si>
  <si>
    <t>kr =</t>
  </si>
  <si>
    <t>Sted</t>
  </si>
  <si>
    <t>Underskrift arrangør</t>
  </si>
  <si>
    <t>Banedagbok</t>
  </si>
  <si>
    <t xml:space="preserve"> G10</t>
  </si>
  <si>
    <t xml:space="preserve">Anette Røed </t>
  </si>
  <si>
    <t xml:space="preserve">Maya W Solberg </t>
  </si>
  <si>
    <t xml:space="preserve">Ingeborg Morberg </t>
  </si>
  <si>
    <t xml:space="preserve"> G9 </t>
  </si>
  <si>
    <t xml:space="preserve">Helle Kierulf </t>
  </si>
  <si>
    <t xml:space="preserve">Celine Kjær Molvig </t>
  </si>
  <si>
    <t xml:space="preserve">Ulrik Kjærgaard </t>
  </si>
  <si>
    <t>Hoanh Vinh</t>
  </si>
  <si>
    <t>(08:55) 09:00 - 09:20</t>
  </si>
  <si>
    <t>(09:20) 09:25 - 09:45</t>
  </si>
  <si>
    <t>(09:45) 09:50 - 10:10</t>
  </si>
  <si>
    <t>(10:10) 10:15 - 10:35</t>
  </si>
  <si>
    <t>(10:35) 10:40 - 11:00</t>
  </si>
  <si>
    <t>(11:00) 11:05 - 11:25</t>
  </si>
  <si>
    <t>(11:25) 11:30 - 11:50</t>
  </si>
  <si>
    <t>(12:05) 12:10 - 12:30</t>
  </si>
  <si>
    <t>(12:30) 12:35 - 12:55</t>
  </si>
  <si>
    <t>(12:55) 13:00 - 13:20</t>
  </si>
  <si>
    <t>(13:20) 13:25 - 13:45</t>
  </si>
  <si>
    <t>(13:45) 13:50 - 14:10</t>
  </si>
  <si>
    <t>(14:10) 14:15 - 14:35</t>
  </si>
  <si>
    <t>(14:35) 14:40 - 15:00</t>
  </si>
  <si>
    <t>(15:00) 15:05 - 15:25</t>
  </si>
  <si>
    <t>(15:25) 15:30 - 15:50</t>
  </si>
  <si>
    <t>(15:50) 15:55 - 16:15</t>
  </si>
  <si>
    <t>(16:15) 16:20 - 16:40</t>
  </si>
  <si>
    <t>(16:40) 16:45 - 17:05</t>
  </si>
  <si>
    <t>(17:20) 17:25 - 17:45</t>
  </si>
  <si>
    <t>(17:45) 17:50 - 18:10</t>
  </si>
  <si>
    <t>(18:10) 18:15 - 18:35</t>
  </si>
  <si>
    <t>Maya W Solberg</t>
  </si>
  <si>
    <t xml:space="preserve">Lotte Bettum </t>
  </si>
  <si>
    <t xml:space="preserve">Selma Henriksen </t>
  </si>
  <si>
    <t xml:space="preserve">Henriette O Foyn </t>
  </si>
  <si>
    <t>Henriette O Foyn</t>
  </si>
  <si>
    <t>(18:35) 18:40 - 19:00</t>
  </si>
  <si>
    <t>09:00 - 09:20</t>
  </si>
  <si>
    <t>09:25 - 09:45</t>
  </si>
  <si>
    <t>09:50 - 10:10</t>
  </si>
  <si>
    <t>10:15 - 10:35</t>
  </si>
  <si>
    <t>10:40 - 11:00</t>
  </si>
  <si>
    <t>11:05 - 11:25</t>
  </si>
  <si>
    <t>11:30 - 11:50</t>
  </si>
  <si>
    <t>12:10 - 12:30</t>
  </si>
  <si>
    <t>12:35 - 12:55</t>
  </si>
  <si>
    <t>13:00 - 13:20</t>
  </si>
  <si>
    <t>13:25 - 13:45</t>
  </si>
  <si>
    <t>Dato:  02.04.2017</t>
  </si>
  <si>
    <t>Hall:  Slagenhallen</t>
  </si>
  <si>
    <t>Bane:  1</t>
  </si>
  <si>
    <t>Klasse:   G10</t>
  </si>
  <si>
    <t>13:50 - 14:10</t>
  </si>
  <si>
    <t>14:15 - 14:35</t>
  </si>
  <si>
    <t>14:40 - 15:00</t>
  </si>
  <si>
    <t>15:05 - 15:25</t>
  </si>
  <si>
    <t>15:30 - 15:50</t>
  </si>
  <si>
    <t>15:55 - 16:15</t>
  </si>
  <si>
    <t>16:20 - 16:40</t>
  </si>
  <si>
    <t>16:45 - 17:05</t>
  </si>
  <si>
    <t>17:25 - 17:45</t>
  </si>
  <si>
    <t>17:50 - 18:10</t>
  </si>
  <si>
    <t>18:15 - 18:35</t>
  </si>
  <si>
    <t xml:space="preserve">Klasse:   G9 </t>
  </si>
  <si>
    <t>Bane:  2</t>
  </si>
  <si>
    <t>Bane:  3</t>
  </si>
  <si>
    <t>18:40 - 19:00</t>
  </si>
  <si>
    <t>Klasse:  G10</t>
  </si>
  <si>
    <t xml:space="preserve">Lag: </t>
  </si>
  <si>
    <t xml:space="preserve">Antall lag: </t>
  </si>
  <si>
    <t xml:space="preserve">Antall kamper: </t>
  </si>
  <si>
    <t xml:space="preserve">Betale for antall dommere: </t>
  </si>
  <si>
    <t xml:space="preserve">Å betale: </t>
  </si>
  <si>
    <t xml:space="preserve">Klasse:  G9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</si>
</sst>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25" xfId="0" applyFont="1" applyBorder="1" applyAlignment="1">
      <alignment horizontal="center" vertical="top"/>
    </xf>
    <xf numFmtId="0" fontId="21" fillId="0" borderId="0" xfId="0" applyFont="1" applyBorder="1" applyAlignment="1">
      <alignment horizontal="left"/>
    </xf>
    <xf numFmtId="0" fontId="21" fillId="0" borderId="25" xfId="0" applyFont="1" applyBorder="1"/>
    <xf numFmtId="0" fontId="0" fillId="0" borderId="25" xfId="0" applyBorder="1"/>
    <xf numFmtId="0" fontId="21" fillId="0" borderId="25" xfId="0" applyFont="1" applyBorder="1" applyAlignment="1">
      <alignment horizontal="left" vertical="center"/>
    </xf>
    <xf numFmtId="0" fontId="0" fillId="0" borderId="0" xfId="0" applyBorder="1"/>
    <xf numFmtId="0" fontId="22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0" fontId="1" fillId="2" borderId="26" xfId="0" applyFont="1" applyFill="1" applyBorder="1" applyAlignment="1">
      <alignment horizontal="left" vertical="center"/>
    </xf>
    <xf numFmtId="49" fontId="1" fillId="2" borderId="26" xfId="0" applyNumberFormat="1" applyFont="1" applyFill="1" applyBorder="1" applyAlignment="1">
      <alignment horizontal="left" vertical="center"/>
    </xf>
    <xf numFmtId="0" fontId="16" fillId="0" borderId="24" xfId="0" applyFont="1" applyBorder="1" applyAlignment="1">
      <alignment horizontal="center"/>
    </xf>
    <xf numFmtId="14" fontId="16" fillId="0" borderId="24" xfId="0" applyNumberFormat="1" applyFont="1" applyBorder="1" applyAlignment="1">
      <alignment horizontal="center"/>
    </xf>
    <xf numFmtId="0" fontId="16" fillId="0" borderId="24" xfId="0" applyFont="1" applyBorder="1"/>
    <xf numFmtId="14" fontId="0" fillId="0" borderId="0" xfId="0" applyNumberFormat="1"/>
  </cellXfs>
  <cellStyles count="3">
    <cellStyle name="Hyperlink" xfId="2" builtinId="8"/>
    <cellStyle name="Normal" xfId="0" builtinId="0"/>
    <cellStyle name="Normal 2" xfId="1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5" formatCode="hh:mm"/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5" formatCode="hh:mm"/>
      <alignment horizontal="left" vertical="bottom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5" formatCode="hh:mm"/>
      <alignment horizontal="left" vertical="bottom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DCB47F69-B2B7-4557-82E6-8D3A289051E7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C3769F6B-071B-437A-857B-F63B2144B061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DAE992B9-F171-466A-B411-17A144C6E6D7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298C331F-AE87-48BE-8EDC-CDEA1F4A141A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CDE13638-1C11-451E-86EE-B86733CD75AC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835A6D64-67C5-47BF-88E7-48D2C6F0CA3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7757D265-A88A-4533-A0C4-5579FDAA3C0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Slagenhallen_1" displayName="Slagenhallen_1" ref="A4:I26" totalsRowShown="0" headerRowDxfId="24" dataDxfId="25" headerRowBorderDxfId="34" tableBorderDxfId="35">
  <autoFilter ref="A4:I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33"/>
    <tableColumn id="2" name="Turnering" dataDxfId="32"/>
    <tableColumn id="3" name="Kampnr" dataDxfId="31"/>
    <tableColumn id="4" name="Bane" dataDxfId="30"/>
    <tableColumn id="5" name="Hjemmelag" dataDxfId="29"/>
    <tableColumn id="6" name="Bortelag" dataDxfId="28"/>
    <tableColumn id="7" name="Klasse"/>
    <tableColumn id="8" name="Dommer 1" dataDxfId="27"/>
    <tableColumn id="9" name="Dommer 2" dataDxfId="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Slagenhallen_2" displayName="Slagenhallen_2" ref="A4:I26" totalsRowShown="0" headerRowDxfId="12" dataDxfId="13" headerRowBorderDxfId="22" tableBorderDxfId="23">
  <autoFilter ref="A4:I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21"/>
    <tableColumn id="2" name="Turnering" dataDxfId="20"/>
    <tableColumn id="3" name="Kampnr" dataDxfId="19"/>
    <tableColumn id="4" name="Bane" dataDxfId="18"/>
    <tableColumn id="5" name="Hjemmelag" dataDxfId="17"/>
    <tableColumn id="6" name="Bortelag" dataDxfId="16"/>
    <tableColumn id="7" name="Klasse"/>
    <tableColumn id="8" name="Dommer 1" dataDxfId="15"/>
    <tableColumn id="9" name="Dommer 2" dataDxfId="1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Slagenhallen_3" displayName="Slagenhallen_3" ref="A4:I27" totalsRowShown="0" headerRowDxfId="0" dataDxfId="1" headerRowBorderDxfId="10" tableBorderDxfId="11">
  <autoFilter ref="A4:I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9"/>
    <tableColumn id="2" name="Turnering" dataDxfId="8"/>
    <tableColumn id="3" name="Kampnr" dataDxfId="7"/>
    <tableColumn id="4" name="Bane" dataDxfId="6"/>
    <tableColumn id="5" name="Hjemmelag" dataDxfId="5"/>
    <tableColumn id="6" name="Bortelag" dataDxfId="4"/>
    <tableColumn id="7" name="Klasse"/>
    <tableColumn id="8" name="Dommer 1" dataDxfId="3"/>
    <tableColumn id="9" name="Dommer 2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workbookViewId="0">
      <selection activeCell="F5" sqref="F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zoomScaleNormal="100" workbookViewId="0">
      <selection activeCell="B5" sqref="B5:H5"/>
    </sheetView>
  </sheetViews>
  <sheetFormatPr defaultRowHeight="15" x14ac:dyDescent="0.2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 x14ac:dyDescent="0.25"/>
    <row r="2" spans="1:9" ht="27" customHeight="1" x14ac:dyDescent="0.25"/>
    <row r="3" spans="1:9" ht="53.25" customHeight="1" x14ac:dyDescent="0.25">
      <c r="A3" s="58" t="str">
        <f>UPPER("Kvittering for betaling av dommere i BARNEHÅNDBALLturneringer")</f>
        <v>KVITTERING FOR BETALING AV DOMMERE I BARNEHÅNDBALLTURNERINGER</v>
      </c>
      <c r="B3" s="58"/>
      <c r="C3" s="58"/>
      <c r="D3" s="58"/>
      <c r="E3" s="58"/>
      <c r="F3" s="58"/>
      <c r="G3" s="58"/>
      <c r="H3" s="58"/>
      <c r="I3" s="58"/>
    </row>
    <row r="4" spans="1:9" ht="7.5" customHeight="1" x14ac:dyDescent="0.25"/>
    <row r="5" spans="1:9" ht="22.5" x14ac:dyDescent="0.4">
      <c r="A5" s="59" t="s">
        <v>192</v>
      </c>
      <c r="B5" s="60"/>
      <c r="C5" s="60"/>
      <c r="D5" s="60"/>
      <c r="E5" s="60"/>
      <c r="F5" s="60"/>
      <c r="G5" s="60"/>
      <c r="H5" s="60"/>
    </row>
    <row r="8" spans="1:9" ht="22.5" x14ac:dyDescent="0.4">
      <c r="A8" s="59" t="s">
        <v>193</v>
      </c>
      <c r="B8" s="61"/>
      <c r="C8" s="61"/>
      <c r="D8" s="61"/>
    </row>
    <row r="10" spans="1:9" ht="22.5" x14ac:dyDescent="0.4">
      <c r="A10" s="59" t="s">
        <v>194</v>
      </c>
      <c r="B10" s="60"/>
      <c r="C10" s="60"/>
      <c r="D10" s="60"/>
      <c r="E10" s="60"/>
      <c r="F10" s="60"/>
      <c r="G10" s="60"/>
      <c r="H10" s="60"/>
    </row>
    <row r="12" spans="1:9" ht="51" customHeight="1" x14ac:dyDescent="0.25"/>
    <row r="13" spans="1:9" ht="22.5" x14ac:dyDescent="0.4">
      <c r="A13" s="59" t="s">
        <v>195</v>
      </c>
      <c r="F13" s="62"/>
      <c r="G13" s="63" t="s">
        <v>196</v>
      </c>
      <c r="H13" s="62"/>
    </row>
    <row r="14" spans="1:9" ht="14.25" customHeight="1" x14ac:dyDescent="0.4">
      <c r="A14" s="59"/>
      <c r="F14" s="69"/>
      <c r="G14" s="63"/>
      <c r="H14" s="69"/>
    </row>
    <row r="16" spans="1:9" ht="22.5" x14ac:dyDescent="0.4">
      <c r="A16" s="59" t="s">
        <v>197</v>
      </c>
      <c r="F16" s="62"/>
      <c r="G16" s="63" t="s">
        <v>198</v>
      </c>
      <c r="H16" s="62"/>
    </row>
    <row r="17" spans="1:8" ht="14.25" customHeight="1" x14ac:dyDescent="0.4">
      <c r="A17" s="59"/>
      <c r="F17" s="69"/>
      <c r="G17" s="63"/>
      <c r="H17" s="69"/>
    </row>
    <row r="19" spans="1:8" ht="22.5" x14ac:dyDescent="0.4">
      <c r="A19" s="59" t="s">
        <v>199</v>
      </c>
      <c r="G19" s="63" t="s">
        <v>200</v>
      </c>
      <c r="H19" s="62"/>
    </row>
    <row r="21" spans="1:8" ht="31.5" customHeight="1" x14ac:dyDescent="0.25"/>
    <row r="28" spans="1:8" ht="18" x14ac:dyDescent="0.35">
      <c r="A28" s="64" t="s">
        <v>201</v>
      </c>
      <c r="B28" s="64"/>
      <c r="C28" s="65"/>
      <c r="D28" s="66" t="s">
        <v>9</v>
      </c>
      <c r="E28" s="67"/>
    </row>
    <row r="33" spans="1:5" ht="18" x14ac:dyDescent="0.25">
      <c r="A33" s="68" t="s">
        <v>202</v>
      </c>
      <c r="B33" s="68"/>
      <c r="C33" s="68"/>
      <c r="D33" s="68"/>
      <c r="E33" s="68"/>
    </row>
  </sheetData>
  <sheetProtection algorithmName="SHA-512" hashValue="z/F+ta/3BLT57NNpWJKa4tPz/sKKnrlqxNqSK1wn4frF4+kVweJ4aTfqTkCF7fb/y+ozIlm8NISqk5hSoYcxdQ==" saltValue="HpL3qtYC4hSUWORIvQewLw==" spinCount="100000" sheet="1" objects="1" scenarios="1"/>
  <mergeCells count="6">
    <mergeCell ref="A28:B28"/>
    <mergeCell ref="A33:E33"/>
    <mergeCell ref="A3:I3"/>
    <mergeCell ref="B5:H5"/>
    <mergeCell ref="B8:D8"/>
    <mergeCell ref="B10:H10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6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70" t="s">
        <v>203</v>
      </c>
      <c r="B1" s="70"/>
      <c r="C1" s="70"/>
      <c r="D1" s="70"/>
      <c r="E1" s="70"/>
      <c r="F1" s="70"/>
      <c r="G1" s="70"/>
      <c r="H1" s="70"/>
      <c r="I1" s="70"/>
    </row>
    <row r="2" spans="1:9" ht="18.75" x14ac:dyDescent="0.3">
      <c r="A2" s="71" t="s">
        <v>69</v>
      </c>
      <c r="B2" s="71"/>
      <c r="C2" s="71"/>
      <c r="D2" s="71"/>
      <c r="E2" s="71"/>
      <c r="F2" s="71"/>
      <c r="G2" s="71"/>
      <c r="H2" s="71"/>
      <c r="I2" s="71"/>
    </row>
    <row r="3" spans="1:9" ht="15.75" x14ac:dyDescent="0.25">
      <c r="A3" s="72">
        <v>42827</v>
      </c>
    </row>
    <row r="4" spans="1:9" ht="15.75" x14ac:dyDescent="0.25">
      <c r="A4" s="73" t="s">
        <v>0</v>
      </c>
      <c r="B4" s="73" t="s">
        <v>1</v>
      </c>
      <c r="C4" s="74" t="s">
        <v>2</v>
      </c>
      <c r="D4" s="73" t="s">
        <v>3</v>
      </c>
      <c r="E4" s="73" t="s">
        <v>4</v>
      </c>
      <c r="F4" s="73" t="s">
        <v>5</v>
      </c>
      <c r="G4" s="73" t="s">
        <v>8</v>
      </c>
      <c r="H4" s="73" t="s">
        <v>6</v>
      </c>
      <c r="I4" s="73" t="s">
        <v>7</v>
      </c>
    </row>
    <row r="5" spans="1:9" x14ac:dyDescent="0.25">
      <c r="A5" s="3" t="s">
        <v>213</v>
      </c>
      <c r="B5" t="s">
        <v>68</v>
      </c>
      <c r="C5" s="37" t="s">
        <v>113</v>
      </c>
      <c r="D5" t="s">
        <v>69</v>
      </c>
      <c r="E5" t="s">
        <v>70</v>
      </c>
      <c r="F5" t="s">
        <v>71</v>
      </c>
      <c r="G5" t="s">
        <v>204</v>
      </c>
      <c r="H5" s="1" t="s">
        <v>205</v>
      </c>
      <c r="I5" s="1" t="s">
        <v>45</v>
      </c>
    </row>
    <row r="6" spans="1:9" x14ac:dyDescent="0.25">
      <c r="A6" s="3" t="s">
        <v>214</v>
      </c>
      <c r="B6" t="s">
        <v>68</v>
      </c>
      <c r="C6" s="37" t="s">
        <v>116</v>
      </c>
      <c r="D6" t="s">
        <v>69</v>
      </c>
      <c r="E6" t="s">
        <v>80</v>
      </c>
      <c r="F6" t="s">
        <v>81</v>
      </c>
      <c r="G6" t="s">
        <v>204</v>
      </c>
      <c r="H6" s="1" t="s">
        <v>205</v>
      </c>
      <c r="I6" s="1" t="s">
        <v>45</v>
      </c>
    </row>
    <row r="7" spans="1:9" x14ac:dyDescent="0.25">
      <c r="A7" s="3" t="s">
        <v>215</v>
      </c>
      <c r="B7" t="s">
        <v>68</v>
      </c>
      <c r="C7" s="37" t="s">
        <v>119</v>
      </c>
      <c r="D7" t="s">
        <v>69</v>
      </c>
      <c r="E7" t="s">
        <v>86</v>
      </c>
      <c r="F7" t="s">
        <v>87</v>
      </c>
      <c r="G7" t="s">
        <v>204</v>
      </c>
      <c r="H7" s="1" t="s">
        <v>205</v>
      </c>
      <c r="I7" s="1" t="s">
        <v>45</v>
      </c>
    </row>
    <row r="8" spans="1:9" x14ac:dyDescent="0.25">
      <c r="A8" s="3" t="s">
        <v>216</v>
      </c>
      <c r="B8" t="s">
        <v>68</v>
      </c>
      <c r="C8" s="37" t="s">
        <v>122</v>
      </c>
      <c r="D8" t="s">
        <v>69</v>
      </c>
      <c r="E8" t="s">
        <v>92</v>
      </c>
      <c r="F8" t="s">
        <v>80</v>
      </c>
      <c r="G8" t="s">
        <v>204</v>
      </c>
      <c r="H8" s="1" t="s">
        <v>205</v>
      </c>
      <c r="I8" s="1" t="s">
        <v>45</v>
      </c>
    </row>
    <row r="9" spans="1:9" x14ac:dyDescent="0.25">
      <c r="A9" s="3" t="s">
        <v>217</v>
      </c>
      <c r="B9" t="s">
        <v>68</v>
      </c>
      <c r="C9" s="37" t="s">
        <v>125</v>
      </c>
      <c r="D9" t="s">
        <v>69</v>
      </c>
      <c r="E9" t="s">
        <v>71</v>
      </c>
      <c r="F9" t="s">
        <v>86</v>
      </c>
      <c r="G9" t="s">
        <v>204</v>
      </c>
      <c r="H9" s="1" t="s">
        <v>205</v>
      </c>
      <c r="I9" s="1" t="s">
        <v>45</v>
      </c>
    </row>
    <row r="10" spans="1:9" x14ac:dyDescent="0.25">
      <c r="A10" s="3" t="s">
        <v>218</v>
      </c>
      <c r="B10" t="s">
        <v>68</v>
      </c>
      <c r="C10" s="37" t="s">
        <v>128</v>
      </c>
      <c r="D10" t="s">
        <v>69</v>
      </c>
      <c r="E10" t="s">
        <v>81</v>
      </c>
      <c r="F10" t="s">
        <v>70</v>
      </c>
      <c r="G10" t="s">
        <v>204</v>
      </c>
      <c r="H10" s="1" t="s">
        <v>206</v>
      </c>
      <c r="I10" s="1" t="s">
        <v>44</v>
      </c>
    </row>
    <row r="11" spans="1:9" x14ac:dyDescent="0.25">
      <c r="A11" s="3" t="s">
        <v>219</v>
      </c>
      <c r="B11" t="s">
        <v>68</v>
      </c>
      <c r="C11" s="37" t="s">
        <v>131</v>
      </c>
      <c r="D11" t="s">
        <v>69</v>
      </c>
      <c r="E11" t="s">
        <v>80</v>
      </c>
      <c r="F11" t="s">
        <v>87</v>
      </c>
      <c r="G11" t="s">
        <v>204</v>
      </c>
      <c r="H11" s="1" t="s">
        <v>207</v>
      </c>
      <c r="I11" s="1" t="s">
        <v>44</v>
      </c>
    </row>
    <row r="12" spans="1:9" x14ac:dyDescent="0.25">
      <c r="A12" s="3" t="s">
        <v>220</v>
      </c>
      <c r="B12" t="s">
        <v>68</v>
      </c>
      <c r="C12" s="37" t="s">
        <v>134</v>
      </c>
      <c r="D12" t="s">
        <v>69</v>
      </c>
      <c r="E12" t="s">
        <v>70</v>
      </c>
      <c r="F12" t="s">
        <v>92</v>
      </c>
      <c r="G12" t="s">
        <v>204</v>
      </c>
      <c r="H12" s="1" t="s">
        <v>205</v>
      </c>
      <c r="I12" s="1" t="s">
        <v>45</v>
      </c>
    </row>
    <row r="13" spans="1:9" x14ac:dyDescent="0.25">
      <c r="A13" s="3" t="s">
        <v>221</v>
      </c>
      <c r="B13" t="s">
        <v>68</v>
      </c>
      <c r="C13" s="37" t="s">
        <v>137</v>
      </c>
      <c r="D13" t="s">
        <v>69</v>
      </c>
      <c r="E13" t="s">
        <v>86</v>
      </c>
      <c r="F13" t="s">
        <v>81</v>
      </c>
      <c r="G13" t="s">
        <v>204</v>
      </c>
      <c r="H13" s="1" t="s">
        <v>205</v>
      </c>
      <c r="I13" s="1" t="s">
        <v>45</v>
      </c>
    </row>
    <row r="14" spans="1:9" x14ac:dyDescent="0.25">
      <c r="A14" s="3" t="s">
        <v>222</v>
      </c>
      <c r="B14" t="s">
        <v>68</v>
      </c>
      <c r="C14" s="37" t="s">
        <v>140</v>
      </c>
      <c r="D14" t="s">
        <v>69</v>
      </c>
      <c r="E14" t="s">
        <v>71</v>
      </c>
      <c r="F14" t="s">
        <v>87</v>
      </c>
      <c r="G14" t="s">
        <v>204</v>
      </c>
      <c r="H14" s="1" t="s">
        <v>205</v>
      </c>
      <c r="I14" s="1" t="s">
        <v>45</v>
      </c>
    </row>
    <row r="15" spans="1:9" x14ac:dyDescent="0.25">
      <c r="A15" s="3" t="s">
        <v>223</v>
      </c>
      <c r="B15" t="s">
        <v>68</v>
      </c>
      <c r="C15" s="37" t="s">
        <v>143</v>
      </c>
      <c r="D15" t="s">
        <v>69</v>
      </c>
      <c r="E15" t="s">
        <v>81</v>
      </c>
      <c r="F15" t="s">
        <v>92</v>
      </c>
      <c r="G15" t="s">
        <v>204</v>
      </c>
      <c r="H15" s="1" t="s">
        <v>205</v>
      </c>
      <c r="I15" s="1" t="s">
        <v>45</v>
      </c>
    </row>
    <row r="16" spans="1:9" x14ac:dyDescent="0.25">
      <c r="A16" s="3" t="s">
        <v>224</v>
      </c>
      <c r="B16" t="s">
        <v>98</v>
      </c>
      <c r="C16" s="37" t="s">
        <v>148</v>
      </c>
      <c r="D16" t="s">
        <v>69</v>
      </c>
      <c r="E16" t="s">
        <v>99</v>
      </c>
      <c r="F16" t="s">
        <v>93</v>
      </c>
      <c r="G16" t="s">
        <v>208</v>
      </c>
      <c r="H16" s="1" t="s">
        <v>209</v>
      </c>
      <c r="I16" s="1" t="s">
        <v>29</v>
      </c>
    </row>
    <row r="17" spans="1:9" x14ac:dyDescent="0.25">
      <c r="A17" s="3" t="s">
        <v>225</v>
      </c>
      <c r="B17" t="s">
        <v>98</v>
      </c>
      <c r="C17" s="37" t="s">
        <v>151</v>
      </c>
      <c r="D17" t="s">
        <v>69</v>
      </c>
      <c r="E17" t="s">
        <v>105</v>
      </c>
      <c r="F17" t="s">
        <v>86</v>
      </c>
      <c r="G17" t="s">
        <v>208</v>
      </c>
      <c r="H17" s="1" t="s">
        <v>209</v>
      </c>
      <c r="I17" s="1" t="s">
        <v>29</v>
      </c>
    </row>
    <row r="18" spans="1:9" x14ac:dyDescent="0.25">
      <c r="A18" s="3" t="s">
        <v>226</v>
      </c>
      <c r="B18" t="s">
        <v>98</v>
      </c>
      <c r="C18" s="37" t="s">
        <v>154</v>
      </c>
      <c r="D18" t="s">
        <v>69</v>
      </c>
      <c r="E18" t="s">
        <v>70</v>
      </c>
      <c r="F18" t="s">
        <v>108</v>
      </c>
      <c r="G18" t="s">
        <v>208</v>
      </c>
      <c r="H18" s="1" t="s">
        <v>210</v>
      </c>
      <c r="I18" s="1" t="s">
        <v>44</v>
      </c>
    </row>
    <row r="19" spans="1:9" x14ac:dyDescent="0.25">
      <c r="A19" s="3" t="s">
        <v>227</v>
      </c>
      <c r="B19" t="s">
        <v>98</v>
      </c>
      <c r="C19" s="37" t="s">
        <v>157</v>
      </c>
      <c r="D19" t="s">
        <v>69</v>
      </c>
      <c r="E19" t="s">
        <v>111</v>
      </c>
      <c r="F19" t="s">
        <v>105</v>
      </c>
      <c r="G19" t="s">
        <v>208</v>
      </c>
      <c r="H19" s="1" t="s">
        <v>210</v>
      </c>
      <c r="I19" s="1" t="s">
        <v>44</v>
      </c>
    </row>
    <row r="20" spans="1:9" x14ac:dyDescent="0.25">
      <c r="A20" s="3" t="s">
        <v>228</v>
      </c>
      <c r="B20" t="s">
        <v>98</v>
      </c>
      <c r="C20" s="37" t="s">
        <v>160</v>
      </c>
      <c r="D20" t="s">
        <v>69</v>
      </c>
      <c r="E20" t="s">
        <v>93</v>
      </c>
      <c r="F20" t="s">
        <v>70</v>
      </c>
      <c r="G20" t="s">
        <v>208</v>
      </c>
      <c r="H20" s="1" t="s">
        <v>209</v>
      </c>
      <c r="I20" s="1" t="s">
        <v>29</v>
      </c>
    </row>
    <row r="21" spans="1:9" x14ac:dyDescent="0.25">
      <c r="A21" s="3" t="s">
        <v>229</v>
      </c>
      <c r="B21" t="s">
        <v>98</v>
      </c>
      <c r="C21" s="37" t="s">
        <v>163</v>
      </c>
      <c r="D21" t="s">
        <v>69</v>
      </c>
      <c r="E21" t="s">
        <v>86</v>
      </c>
      <c r="F21" t="s">
        <v>99</v>
      </c>
      <c r="G21" t="s">
        <v>208</v>
      </c>
      <c r="H21" s="1" t="s">
        <v>209</v>
      </c>
      <c r="I21" s="1" t="s">
        <v>29</v>
      </c>
    </row>
    <row r="22" spans="1:9" x14ac:dyDescent="0.25">
      <c r="A22" s="3" t="s">
        <v>230</v>
      </c>
      <c r="B22" t="s">
        <v>98</v>
      </c>
      <c r="C22" s="37" t="s">
        <v>166</v>
      </c>
      <c r="D22" t="s">
        <v>69</v>
      </c>
      <c r="E22" t="s">
        <v>105</v>
      </c>
      <c r="F22" t="s">
        <v>108</v>
      </c>
      <c r="G22" t="s">
        <v>208</v>
      </c>
      <c r="H22" s="1" t="s">
        <v>209</v>
      </c>
      <c r="I22" s="1" t="s">
        <v>29</v>
      </c>
    </row>
    <row r="23" spans="1:9" x14ac:dyDescent="0.25">
      <c r="A23" s="51" t="s">
        <v>231</v>
      </c>
      <c r="B23" s="1" t="s">
        <v>98</v>
      </c>
      <c r="C23" s="35" t="s">
        <v>169</v>
      </c>
      <c r="D23" s="1" t="s">
        <v>69</v>
      </c>
      <c r="E23" s="1" t="s">
        <v>99</v>
      </c>
      <c r="F23" s="1" t="s">
        <v>111</v>
      </c>
      <c r="G23" t="s">
        <v>208</v>
      </c>
      <c r="H23" s="1" t="s">
        <v>211</v>
      </c>
      <c r="I23" s="1" t="s">
        <v>212</v>
      </c>
    </row>
    <row r="24" spans="1:9" x14ac:dyDescent="0.25">
      <c r="A24" s="51" t="s">
        <v>232</v>
      </c>
      <c r="B24" s="1" t="s">
        <v>98</v>
      </c>
      <c r="C24" s="35" t="s">
        <v>172</v>
      </c>
      <c r="D24" s="1" t="s">
        <v>69</v>
      </c>
      <c r="E24" s="1" t="s">
        <v>70</v>
      </c>
      <c r="F24" s="1" t="s">
        <v>86</v>
      </c>
      <c r="G24" t="s">
        <v>208</v>
      </c>
      <c r="H24" s="1" t="s">
        <v>211</v>
      </c>
      <c r="I24" s="1" t="s">
        <v>212</v>
      </c>
    </row>
    <row r="25" spans="1:9" x14ac:dyDescent="0.25">
      <c r="A25" s="51" t="s">
        <v>233</v>
      </c>
      <c r="B25" s="1" t="s">
        <v>98</v>
      </c>
      <c r="C25" s="35" t="s">
        <v>175</v>
      </c>
      <c r="D25" s="1" t="s">
        <v>69</v>
      </c>
      <c r="E25" s="1" t="s">
        <v>93</v>
      </c>
      <c r="F25" s="1" t="s">
        <v>108</v>
      </c>
      <c r="G25" t="s">
        <v>208</v>
      </c>
      <c r="H25" s="1" t="s">
        <v>209</v>
      </c>
      <c r="I25" s="1" t="s">
        <v>29</v>
      </c>
    </row>
    <row r="26" spans="1:9" x14ac:dyDescent="0.25">
      <c r="A26" s="51" t="s">
        <v>234</v>
      </c>
      <c r="B26" s="1" t="s">
        <v>98</v>
      </c>
      <c r="C26" s="35" t="s">
        <v>178</v>
      </c>
      <c r="D26" s="1" t="s">
        <v>69</v>
      </c>
      <c r="E26" s="1" t="s">
        <v>86</v>
      </c>
      <c r="F26" s="1" t="s">
        <v>111</v>
      </c>
      <c r="G26" t="s">
        <v>208</v>
      </c>
      <c r="H26" s="1" t="s">
        <v>209</v>
      </c>
      <c r="I26" s="1" t="s">
        <v>29</v>
      </c>
    </row>
  </sheetData>
  <mergeCells count="2">
    <mergeCell ref="A1:I1"/>
    <mergeCell ref="A2:I2"/>
  </mergeCell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6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70" t="s">
        <v>203</v>
      </c>
      <c r="B1" s="70"/>
      <c r="C1" s="70"/>
      <c r="D1" s="70"/>
      <c r="E1" s="70"/>
      <c r="F1" s="70"/>
      <c r="G1" s="70"/>
      <c r="H1" s="70"/>
      <c r="I1" s="70"/>
    </row>
    <row r="2" spans="1:9" ht="18.75" x14ac:dyDescent="0.3">
      <c r="A2" s="71" t="s">
        <v>73</v>
      </c>
      <c r="B2" s="71"/>
      <c r="C2" s="71"/>
      <c r="D2" s="71"/>
      <c r="E2" s="71"/>
      <c r="F2" s="71"/>
      <c r="G2" s="71"/>
      <c r="H2" s="71"/>
      <c r="I2" s="71"/>
    </row>
    <row r="3" spans="1:9" ht="15.75" x14ac:dyDescent="0.25">
      <c r="A3" s="72">
        <v>42827</v>
      </c>
    </row>
    <row r="4" spans="1:9" ht="15.75" x14ac:dyDescent="0.25">
      <c r="A4" s="73" t="s">
        <v>0</v>
      </c>
      <c r="B4" s="73" t="s">
        <v>1</v>
      </c>
      <c r="C4" s="74" t="s">
        <v>2</v>
      </c>
      <c r="D4" s="73" t="s">
        <v>3</v>
      </c>
      <c r="E4" s="73" t="s">
        <v>4</v>
      </c>
      <c r="F4" s="73" t="s">
        <v>5</v>
      </c>
      <c r="G4" s="73" t="s">
        <v>8</v>
      </c>
      <c r="H4" s="73" t="s">
        <v>6</v>
      </c>
      <c r="I4" s="73" t="s">
        <v>7</v>
      </c>
    </row>
    <row r="5" spans="1:9" x14ac:dyDescent="0.25">
      <c r="A5" s="3" t="s">
        <v>213</v>
      </c>
      <c r="B5" t="s">
        <v>72</v>
      </c>
      <c r="C5" s="37" t="s">
        <v>114</v>
      </c>
      <c r="D5" t="s">
        <v>73</v>
      </c>
      <c r="E5" t="s">
        <v>74</v>
      </c>
      <c r="F5" t="s">
        <v>75</v>
      </c>
      <c r="G5" t="s">
        <v>204</v>
      </c>
      <c r="H5" s="1" t="s">
        <v>209</v>
      </c>
      <c r="I5" s="1" t="s">
        <v>29</v>
      </c>
    </row>
    <row r="6" spans="1:9" x14ac:dyDescent="0.25">
      <c r="A6" s="3" t="s">
        <v>214</v>
      </c>
      <c r="B6" t="s">
        <v>72</v>
      </c>
      <c r="C6" s="37" t="s">
        <v>117</v>
      </c>
      <c r="D6" t="s">
        <v>73</v>
      </c>
      <c r="E6" t="s">
        <v>82</v>
      </c>
      <c r="F6" t="s">
        <v>83</v>
      </c>
      <c r="G6" t="s">
        <v>204</v>
      </c>
      <c r="H6" s="1" t="s">
        <v>210</v>
      </c>
      <c r="I6" s="1" t="s">
        <v>44</v>
      </c>
    </row>
    <row r="7" spans="1:9" x14ac:dyDescent="0.25">
      <c r="A7" s="3" t="s">
        <v>215</v>
      </c>
      <c r="B7" t="s">
        <v>72</v>
      </c>
      <c r="C7" s="37" t="s">
        <v>120</v>
      </c>
      <c r="D7" t="s">
        <v>73</v>
      </c>
      <c r="E7" t="s">
        <v>88</v>
      </c>
      <c r="F7" t="s">
        <v>89</v>
      </c>
      <c r="G7" t="s">
        <v>204</v>
      </c>
      <c r="H7" s="1" t="s">
        <v>210</v>
      </c>
      <c r="I7" s="1" t="s">
        <v>44</v>
      </c>
    </row>
    <row r="8" spans="1:9" x14ac:dyDescent="0.25">
      <c r="A8" s="3" t="s">
        <v>216</v>
      </c>
      <c r="B8" t="s">
        <v>72</v>
      </c>
      <c r="C8" s="37" t="s">
        <v>123</v>
      </c>
      <c r="D8" t="s">
        <v>73</v>
      </c>
      <c r="E8" t="s">
        <v>93</v>
      </c>
      <c r="F8" t="s">
        <v>82</v>
      </c>
      <c r="G8" t="s">
        <v>204</v>
      </c>
      <c r="H8" s="1" t="s">
        <v>210</v>
      </c>
      <c r="I8" s="1" t="s">
        <v>44</v>
      </c>
    </row>
    <row r="9" spans="1:9" x14ac:dyDescent="0.25">
      <c r="A9" s="3" t="s">
        <v>217</v>
      </c>
      <c r="B9" t="s">
        <v>72</v>
      </c>
      <c r="C9" s="37" t="s">
        <v>126</v>
      </c>
      <c r="D9" t="s">
        <v>73</v>
      </c>
      <c r="E9" t="s">
        <v>75</v>
      </c>
      <c r="F9" t="s">
        <v>88</v>
      </c>
      <c r="G9" t="s">
        <v>204</v>
      </c>
      <c r="H9" s="1" t="s">
        <v>207</v>
      </c>
      <c r="I9" s="1" t="s">
        <v>235</v>
      </c>
    </row>
    <row r="10" spans="1:9" x14ac:dyDescent="0.25">
      <c r="A10" s="3" t="s">
        <v>218</v>
      </c>
      <c r="B10" t="s">
        <v>72</v>
      </c>
      <c r="C10" s="37" t="s">
        <v>129</v>
      </c>
      <c r="D10" t="s">
        <v>73</v>
      </c>
      <c r="E10" t="s">
        <v>83</v>
      </c>
      <c r="F10" t="s">
        <v>74</v>
      </c>
      <c r="G10" t="s">
        <v>204</v>
      </c>
      <c r="H10" s="1" t="s">
        <v>207</v>
      </c>
      <c r="I10" s="1" t="s">
        <v>235</v>
      </c>
    </row>
    <row r="11" spans="1:9" x14ac:dyDescent="0.25">
      <c r="A11" s="3" t="s">
        <v>219</v>
      </c>
      <c r="B11" t="s">
        <v>72</v>
      </c>
      <c r="C11" s="37" t="s">
        <v>132</v>
      </c>
      <c r="D11" t="s">
        <v>73</v>
      </c>
      <c r="E11" t="s">
        <v>82</v>
      </c>
      <c r="F11" t="s">
        <v>89</v>
      </c>
      <c r="G11" t="s">
        <v>204</v>
      </c>
      <c r="H11" s="1" t="s">
        <v>211</v>
      </c>
      <c r="I11" s="1" t="s">
        <v>212</v>
      </c>
    </row>
    <row r="12" spans="1:9" x14ac:dyDescent="0.25">
      <c r="A12" s="3" t="s">
        <v>220</v>
      </c>
      <c r="B12" t="s">
        <v>72</v>
      </c>
      <c r="C12" s="37" t="s">
        <v>135</v>
      </c>
      <c r="D12" t="s">
        <v>73</v>
      </c>
      <c r="E12" t="s">
        <v>74</v>
      </c>
      <c r="F12" t="s">
        <v>93</v>
      </c>
      <c r="G12" t="s">
        <v>204</v>
      </c>
      <c r="H12" s="1" t="s">
        <v>211</v>
      </c>
      <c r="I12" s="1" t="s">
        <v>212</v>
      </c>
    </row>
    <row r="13" spans="1:9" x14ac:dyDescent="0.25">
      <c r="A13" s="3" t="s">
        <v>221</v>
      </c>
      <c r="B13" t="s">
        <v>72</v>
      </c>
      <c r="C13" s="37" t="s">
        <v>138</v>
      </c>
      <c r="D13" t="s">
        <v>73</v>
      </c>
      <c r="E13" t="s">
        <v>88</v>
      </c>
      <c r="F13" t="s">
        <v>83</v>
      </c>
      <c r="G13" t="s">
        <v>204</v>
      </c>
      <c r="H13" s="1" t="s">
        <v>207</v>
      </c>
      <c r="I13" s="1" t="s">
        <v>235</v>
      </c>
    </row>
    <row r="14" spans="1:9" x14ac:dyDescent="0.25">
      <c r="A14" s="3" t="s">
        <v>222</v>
      </c>
      <c r="B14" t="s">
        <v>72</v>
      </c>
      <c r="C14" s="37" t="s">
        <v>141</v>
      </c>
      <c r="D14" t="s">
        <v>73</v>
      </c>
      <c r="E14" t="s">
        <v>75</v>
      </c>
      <c r="F14" t="s">
        <v>89</v>
      </c>
      <c r="G14" t="s">
        <v>204</v>
      </c>
      <c r="H14" s="1" t="s">
        <v>207</v>
      </c>
      <c r="I14" s="1" t="s">
        <v>235</v>
      </c>
    </row>
    <row r="15" spans="1:9" x14ac:dyDescent="0.25">
      <c r="A15" s="3" t="s">
        <v>223</v>
      </c>
      <c r="B15" t="s">
        <v>72</v>
      </c>
      <c r="C15" s="37" t="s">
        <v>144</v>
      </c>
      <c r="D15" t="s">
        <v>73</v>
      </c>
      <c r="E15" t="s">
        <v>83</v>
      </c>
      <c r="F15" t="s">
        <v>93</v>
      </c>
      <c r="G15" t="s">
        <v>204</v>
      </c>
      <c r="H15" s="1" t="s">
        <v>236</v>
      </c>
      <c r="I15" s="1" t="s">
        <v>44</v>
      </c>
    </row>
    <row r="16" spans="1:9" x14ac:dyDescent="0.25">
      <c r="A16" s="3" t="s">
        <v>224</v>
      </c>
      <c r="B16" t="s">
        <v>96</v>
      </c>
      <c r="C16" s="37" t="s">
        <v>147</v>
      </c>
      <c r="D16" t="s">
        <v>73</v>
      </c>
      <c r="E16" t="s">
        <v>83</v>
      </c>
      <c r="F16" t="s">
        <v>97</v>
      </c>
      <c r="G16" t="s">
        <v>208</v>
      </c>
      <c r="H16" s="1" t="s">
        <v>237</v>
      </c>
      <c r="I16" s="1" t="s">
        <v>44</v>
      </c>
    </row>
    <row r="17" spans="1:9" x14ac:dyDescent="0.25">
      <c r="A17" s="3" t="s">
        <v>225</v>
      </c>
      <c r="B17" t="s">
        <v>96</v>
      </c>
      <c r="C17" s="37" t="s">
        <v>149</v>
      </c>
      <c r="D17" t="s">
        <v>73</v>
      </c>
      <c r="E17" t="s">
        <v>100</v>
      </c>
      <c r="F17" t="s">
        <v>101</v>
      </c>
      <c r="G17" t="s">
        <v>208</v>
      </c>
      <c r="H17" s="1" t="s">
        <v>207</v>
      </c>
      <c r="I17" s="1" t="s">
        <v>235</v>
      </c>
    </row>
    <row r="18" spans="1:9" x14ac:dyDescent="0.25">
      <c r="A18" s="3" t="s">
        <v>226</v>
      </c>
      <c r="B18" t="s">
        <v>96</v>
      </c>
      <c r="C18" s="37" t="s">
        <v>152</v>
      </c>
      <c r="D18" t="s">
        <v>73</v>
      </c>
      <c r="E18" t="s">
        <v>106</v>
      </c>
      <c r="F18" t="s">
        <v>71</v>
      </c>
      <c r="G18" t="s">
        <v>208</v>
      </c>
      <c r="H18" s="1" t="s">
        <v>207</v>
      </c>
      <c r="I18" s="1" t="s">
        <v>235</v>
      </c>
    </row>
    <row r="19" spans="1:9" x14ac:dyDescent="0.25">
      <c r="A19" s="3" t="s">
        <v>227</v>
      </c>
      <c r="B19" t="s">
        <v>96</v>
      </c>
      <c r="C19" s="37" t="s">
        <v>155</v>
      </c>
      <c r="D19" t="s">
        <v>73</v>
      </c>
      <c r="E19" t="s">
        <v>80</v>
      </c>
      <c r="F19" t="s">
        <v>100</v>
      </c>
      <c r="G19" t="s">
        <v>208</v>
      </c>
      <c r="H19" s="1" t="s">
        <v>211</v>
      </c>
      <c r="I19" s="1" t="s">
        <v>212</v>
      </c>
    </row>
    <row r="20" spans="1:9" x14ac:dyDescent="0.25">
      <c r="A20" s="3" t="s">
        <v>228</v>
      </c>
      <c r="B20" t="s">
        <v>96</v>
      </c>
      <c r="C20" s="37" t="s">
        <v>158</v>
      </c>
      <c r="D20" t="s">
        <v>73</v>
      </c>
      <c r="E20" t="s">
        <v>97</v>
      </c>
      <c r="F20" t="s">
        <v>106</v>
      </c>
      <c r="G20" t="s">
        <v>208</v>
      </c>
      <c r="H20" s="1" t="s">
        <v>211</v>
      </c>
      <c r="I20" s="1" t="s">
        <v>212</v>
      </c>
    </row>
    <row r="21" spans="1:9" x14ac:dyDescent="0.25">
      <c r="A21" s="3" t="s">
        <v>229</v>
      </c>
      <c r="B21" t="s">
        <v>96</v>
      </c>
      <c r="C21" s="37" t="s">
        <v>161</v>
      </c>
      <c r="D21" t="s">
        <v>73</v>
      </c>
      <c r="E21" t="s">
        <v>101</v>
      </c>
      <c r="F21" t="s">
        <v>83</v>
      </c>
      <c r="G21" t="s">
        <v>208</v>
      </c>
      <c r="H21" s="1" t="s">
        <v>207</v>
      </c>
      <c r="I21" s="1" t="s">
        <v>235</v>
      </c>
    </row>
    <row r="22" spans="1:9" x14ac:dyDescent="0.25">
      <c r="A22" s="3" t="s">
        <v>230</v>
      </c>
      <c r="B22" t="s">
        <v>96</v>
      </c>
      <c r="C22" s="37" t="s">
        <v>164</v>
      </c>
      <c r="D22" t="s">
        <v>73</v>
      </c>
      <c r="E22" t="s">
        <v>100</v>
      </c>
      <c r="F22" t="s">
        <v>71</v>
      </c>
      <c r="G22" t="s">
        <v>208</v>
      </c>
      <c r="H22" s="1" t="s">
        <v>207</v>
      </c>
      <c r="I22" s="1" t="s">
        <v>235</v>
      </c>
    </row>
    <row r="23" spans="1:9" x14ac:dyDescent="0.25">
      <c r="A23" s="51" t="s">
        <v>231</v>
      </c>
      <c r="B23" s="1" t="s">
        <v>96</v>
      </c>
      <c r="C23" s="35" t="s">
        <v>167</v>
      </c>
      <c r="D23" s="1" t="s">
        <v>73</v>
      </c>
      <c r="E23" s="1" t="s">
        <v>83</v>
      </c>
      <c r="F23" s="1" t="s">
        <v>80</v>
      </c>
      <c r="G23" t="s">
        <v>208</v>
      </c>
      <c r="H23" s="1" t="s">
        <v>210</v>
      </c>
      <c r="I23" s="1" t="s">
        <v>44</v>
      </c>
    </row>
    <row r="24" spans="1:9" x14ac:dyDescent="0.25">
      <c r="A24" s="51" t="s">
        <v>232</v>
      </c>
      <c r="B24" s="1" t="s">
        <v>96</v>
      </c>
      <c r="C24" s="35" t="s">
        <v>170</v>
      </c>
      <c r="D24" s="1" t="s">
        <v>73</v>
      </c>
      <c r="E24" s="1" t="s">
        <v>106</v>
      </c>
      <c r="F24" s="1" t="s">
        <v>101</v>
      </c>
      <c r="G24" t="s">
        <v>208</v>
      </c>
      <c r="H24" s="1" t="s">
        <v>210</v>
      </c>
      <c r="I24" s="1" t="s">
        <v>44</v>
      </c>
    </row>
    <row r="25" spans="1:9" x14ac:dyDescent="0.25">
      <c r="A25" s="51" t="s">
        <v>233</v>
      </c>
      <c r="B25" s="1" t="s">
        <v>96</v>
      </c>
      <c r="C25" s="35" t="s">
        <v>173</v>
      </c>
      <c r="D25" s="1" t="s">
        <v>73</v>
      </c>
      <c r="E25" s="1" t="s">
        <v>97</v>
      </c>
      <c r="F25" s="1" t="s">
        <v>71</v>
      </c>
      <c r="G25" t="s">
        <v>208</v>
      </c>
      <c r="H25" s="1" t="s">
        <v>207</v>
      </c>
      <c r="I25" s="1" t="s">
        <v>235</v>
      </c>
    </row>
    <row r="26" spans="1:9" x14ac:dyDescent="0.25">
      <c r="A26" s="51" t="s">
        <v>234</v>
      </c>
      <c r="B26" s="1" t="s">
        <v>96</v>
      </c>
      <c r="C26" s="35" t="s">
        <v>176</v>
      </c>
      <c r="D26" s="1" t="s">
        <v>73</v>
      </c>
      <c r="E26" s="1" t="s">
        <v>101</v>
      </c>
      <c r="F26" s="1" t="s">
        <v>80</v>
      </c>
      <c r="G26" t="s">
        <v>208</v>
      </c>
      <c r="H26" s="1" t="s">
        <v>207</v>
      </c>
      <c r="I26" s="1" t="s">
        <v>235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7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70" t="s">
        <v>203</v>
      </c>
      <c r="B1" s="70"/>
      <c r="C1" s="70"/>
      <c r="D1" s="70"/>
      <c r="E1" s="70"/>
      <c r="F1" s="70"/>
      <c r="G1" s="70"/>
      <c r="H1" s="70"/>
      <c r="I1" s="70"/>
    </row>
    <row r="2" spans="1:9" ht="18.75" x14ac:dyDescent="0.3">
      <c r="A2" s="71" t="s">
        <v>77</v>
      </c>
      <c r="B2" s="71"/>
      <c r="C2" s="71"/>
      <c r="D2" s="71"/>
      <c r="E2" s="71"/>
      <c r="F2" s="71"/>
      <c r="G2" s="71"/>
      <c r="H2" s="71"/>
      <c r="I2" s="71"/>
    </row>
    <row r="3" spans="1:9" ht="15.75" x14ac:dyDescent="0.25">
      <c r="A3" s="72">
        <v>42827</v>
      </c>
    </row>
    <row r="4" spans="1:9" ht="15.75" x14ac:dyDescent="0.25">
      <c r="A4" s="73" t="s">
        <v>0</v>
      </c>
      <c r="B4" s="73" t="s">
        <v>1</v>
      </c>
      <c r="C4" s="74" t="s">
        <v>2</v>
      </c>
      <c r="D4" s="73" t="s">
        <v>3</v>
      </c>
      <c r="E4" s="73" t="s">
        <v>4</v>
      </c>
      <c r="F4" s="73" t="s">
        <v>5</v>
      </c>
      <c r="G4" s="73" t="s">
        <v>8</v>
      </c>
      <c r="H4" s="73" t="s">
        <v>6</v>
      </c>
      <c r="I4" s="73" t="s">
        <v>7</v>
      </c>
    </row>
    <row r="5" spans="1:9" x14ac:dyDescent="0.25">
      <c r="A5" s="3" t="s">
        <v>213</v>
      </c>
      <c r="B5" t="s">
        <v>76</v>
      </c>
      <c r="C5" s="37" t="s">
        <v>115</v>
      </c>
      <c r="D5" t="s">
        <v>77</v>
      </c>
      <c r="E5" t="s">
        <v>78</v>
      </c>
      <c r="F5" t="s">
        <v>79</v>
      </c>
      <c r="G5" t="s">
        <v>208</v>
      </c>
      <c r="H5" s="1" t="s">
        <v>207</v>
      </c>
      <c r="I5" s="1" t="s">
        <v>235</v>
      </c>
    </row>
    <row r="6" spans="1:9" x14ac:dyDescent="0.25">
      <c r="A6" s="3" t="s">
        <v>214</v>
      </c>
      <c r="B6" t="s">
        <v>76</v>
      </c>
      <c r="C6" s="37" t="s">
        <v>118</v>
      </c>
      <c r="D6" t="s">
        <v>77</v>
      </c>
      <c r="E6" t="s">
        <v>84</v>
      </c>
      <c r="F6" t="s">
        <v>85</v>
      </c>
      <c r="G6" t="s">
        <v>208</v>
      </c>
      <c r="H6" s="1" t="s">
        <v>211</v>
      </c>
      <c r="I6" s="1" t="s">
        <v>212</v>
      </c>
    </row>
    <row r="7" spans="1:9" x14ac:dyDescent="0.25">
      <c r="A7" s="3" t="s">
        <v>215</v>
      </c>
      <c r="B7" t="s">
        <v>76</v>
      </c>
      <c r="C7" s="37" t="s">
        <v>121</v>
      </c>
      <c r="D7" t="s">
        <v>77</v>
      </c>
      <c r="E7" t="s">
        <v>90</v>
      </c>
      <c r="F7" t="s">
        <v>91</v>
      </c>
      <c r="G7" t="s">
        <v>208</v>
      </c>
      <c r="H7" s="1" t="s">
        <v>211</v>
      </c>
      <c r="I7" s="1" t="s">
        <v>212</v>
      </c>
    </row>
    <row r="8" spans="1:9" x14ac:dyDescent="0.25">
      <c r="A8" s="3" t="s">
        <v>216</v>
      </c>
      <c r="B8" t="s">
        <v>76</v>
      </c>
      <c r="C8" s="37" t="s">
        <v>124</v>
      </c>
      <c r="D8" t="s">
        <v>77</v>
      </c>
      <c r="E8" t="s">
        <v>94</v>
      </c>
      <c r="F8" t="s">
        <v>95</v>
      </c>
      <c r="G8" t="s">
        <v>208</v>
      </c>
      <c r="H8" s="1" t="s">
        <v>211</v>
      </c>
      <c r="I8" s="1" t="s">
        <v>212</v>
      </c>
    </row>
    <row r="9" spans="1:9" x14ac:dyDescent="0.25">
      <c r="A9" s="3" t="s">
        <v>217</v>
      </c>
      <c r="B9" t="s">
        <v>76</v>
      </c>
      <c r="C9" s="37" t="s">
        <v>127</v>
      </c>
      <c r="D9" t="s">
        <v>77</v>
      </c>
      <c r="E9" t="s">
        <v>78</v>
      </c>
      <c r="F9" t="s">
        <v>85</v>
      </c>
      <c r="G9" t="s">
        <v>208</v>
      </c>
      <c r="H9" s="1" t="s">
        <v>238</v>
      </c>
      <c r="I9" s="1" t="s">
        <v>43</v>
      </c>
    </row>
    <row r="10" spans="1:9" x14ac:dyDescent="0.25">
      <c r="A10" s="3" t="s">
        <v>218</v>
      </c>
      <c r="B10" t="s">
        <v>76</v>
      </c>
      <c r="C10" s="37" t="s">
        <v>130</v>
      </c>
      <c r="D10" t="s">
        <v>77</v>
      </c>
      <c r="E10" t="s">
        <v>79</v>
      </c>
      <c r="F10" t="s">
        <v>84</v>
      </c>
      <c r="G10" t="s">
        <v>208</v>
      </c>
      <c r="H10" s="1" t="s">
        <v>238</v>
      </c>
      <c r="I10" s="1" t="s">
        <v>43</v>
      </c>
    </row>
    <row r="11" spans="1:9" x14ac:dyDescent="0.25">
      <c r="A11" s="3" t="s">
        <v>219</v>
      </c>
      <c r="B11" t="s">
        <v>76</v>
      </c>
      <c r="C11" s="37" t="s">
        <v>133</v>
      </c>
      <c r="D11" t="s">
        <v>77</v>
      </c>
      <c r="E11" t="s">
        <v>95</v>
      </c>
      <c r="F11" t="s">
        <v>90</v>
      </c>
      <c r="G11" t="s">
        <v>208</v>
      </c>
      <c r="H11" s="1" t="s">
        <v>237</v>
      </c>
      <c r="I11" s="1" t="s">
        <v>239</v>
      </c>
    </row>
    <row r="12" spans="1:9" x14ac:dyDescent="0.25">
      <c r="A12" s="3" t="s">
        <v>220</v>
      </c>
      <c r="B12" t="s">
        <v>76</v>
      </c>
      <c r="C12" s="37" t="s">
        <v>136</v>
      </c>
      <c r="D12" t="s">
        <v>77</v>
      </c>
      <c r="E12" t="s">
        <v>91</v>
      </c>
      <c r="F12" t="s">
        <v>94</v>
      </c>
      <c r="G12" t="s">
        <v>208</v>
      </c>
      <c r="H12" s="1" t="s">
        <v>237</v>
      </c>
      <c r="I12" s="1" t="s">
        <v>239</v>
      </c>
    </row>
    <row r="13" spans="1:9" x14ac:dyDescent="0.25">
      <c r="A13" s="3" t="s">
        <v>221</v>
      </c>
      <c r="B13" t="s">
        <v>76</v>
      </c>
      <c r="C13" s="37" t="s">
        <v>139</v>
      </c>
      <c r="D13" t="s">
        <v>77</v>
      </c>
      <c r="E13" t="s">
        <v>85</v>
      </c>
      <c r="F13" t="s">
        <v>79</v>
      </c>
      <c r="G13" t="s">
        <v>208</v>
      </c>
      <c r="H13" s="1" t="s">
        <v>236</v>
      </c>
      <c r="I13" s="1" t="s">
        <v>42</v>
      </c>
    </row>
    <row r="14" spans="1:9" ht="15.75" thickBot="1" x14ac:dyDescent="0.3">
      <c r="A14" s="4" t="s">
        <v>222</v>
      </c>
      <c r="B14" t="s">
        <v>76</v>
      </c>
      <c r="C14" s="37" t="s">
        <v>142</v>
      </c>
      <c r="D14" t="s">
        <v>77</v>
      </c>
      <c r="E14" t="s">
        <v>84</v>
      </c>
      <c r="F14" t="s">
        <v>78</v>
      </c>
      <c r="G14" t="s">
        <v>208</v>
      </c>
      <c r="H14" s="1" t="s">
        <v>236</v>
      </c>
      <c r="I14" s="1" t="s">
        <v>42</v>
      </c>
    </row>
    <row r="15" spans="1:9" x14ac:dyDescent="0.25">
      <c r="A15" s="52" t="s">
        <v>223</v>
      </c>
      <c r="B15" t="s">
        <v>76</v>
      </c>
      <c r="C15" s="37" t="s">
        <v>145</v>
      </c>
      <c r="D15" t="s">
        <v>77</v>
      </c>
      <c r="E15" t="s">
        <v>91</v>
      </c>
      <c r="F15" t="s">
        <v>95</v>
      </c>
      <c r="G15" t="s">
        <v>208</v>
      </c>
      <c r="H15" s="1" t="s">
        <v>211</v>
      </c>
      <c r="I15" s="1" t="s">
        <v>212</v>
      </c>
    </row>
    <row r="16" spans="1:9" x14ac:dyDescent="0.25">
      <c r="A16" s="52" t="s">
        <v>224</v>
      </c>
      <c r="B16" t="s">
        <v>76</v>
      </c>
      <c r="C16" s="37" t="s">
        <v>146</v>
      </c>
      <c r="D16" t="s">
        <v>77</v>
      </c>
      <c r="E16" t="s">
        <v>94</v>
      </c>
      <c r="F16" t="s">
        <v>90</v>
      </c>
      <c r="G16" t="s">
        <v>208</v>
      </c>
      <c r="H16" s="1" t="s">
        <v>211</v>
      </c>
      <c r="I16" s="1" t="s">
        <v>212</v>
      </c>
    </row>
    <row r="17" spans="1:9" x14ac:dyDescent="0.25">
      <c r="A17" s="52" t="s">
        <v>225</v>
      </c>
      <c r="B17" t="s">
        <v>102</v>
      </c>
      <c r="C17" s="37" t="s">
        <v>150</v>
      </c>
      <c r="D17" t="s">
        <v>77</v>
      </c>
      <c r="E17" t="s">
        <v>103</v>
      </c>
      <c r="F17" t="s">
        <v>104</v>
      </c>
      <c r="G17" t="s">
        <v>208</v>
      </c>
      <c r="H17" s="1" t="s">
        <v>238</v>
      </c>
      <c r="I17" s="1" t="s">
        <v>43</v>
      </c>
    </row>
    <row r="18" spans="1:9" x14ac:dyDescent="0.25">
      <c r="A18" s="52" t="s">
        <v>226</v>
      </c>
      <c r="B18" t="s">
        <v>102</v>
      </c>
      <c r="C18" s="37" t="s">
        <v>153</v>
      </c>
      <c r="D18" t="s">
        <v>77</v>
      </c>
      <c r="E18" t="s">
        <v>107</v>
      </c>
      <c r="F18" t="s">
        <v>105</v>
      </c>
      <c r="G18" t="s">
        <v>208</v>
      </c>
      <c r="H18" s="1" t="s">
        <v>238</v>
      </c>
      <c r="I18" s="1" t="s">
        <v>43</v>
      </c>
    </row>
    <row r="19" spans="1:9" x14ac:dyDescent="0.25">
      <c r="A19" s="52" t="s">
        <v>227</v>
      </c>
      <c r="B19" t="s">
        <v>102</v>
      </c>
      <c r="C19" s="37" t="s">
        <v>156</v>
      </c>
      <c r="D19" t="s">
        <v>77</v>
      </c>
      <c r="E19" t="s">
        <v>109</v>
      </c>
      <c r="F19" t="s">
        <v>110</v>
      </c>
      <c r="G19" t="s">
        <v>208</v>
      </c>
      <c r="H19" s="1" t="s">
        <v>237</v>
      </c>
      <c r="I19" s="1" t="s">
        <v>239</v>
      </c>
    </row>
    <row r="20" spans="1:9" x14ac:dyDescent="0.25">
      <c r="A20" s="52" t="s">
        <v>228</v>
      </c>
      <c r="B20" t="s">
        <v>102</v>
      </c>
      <c r="C20" s="37" t="s">
        <v>159</v>
      </c>
      <c r="D20" t="s">
        <v>77</v>
      </c>
      <c r="E20" t="s">
        <v>112</v>
      </c>
      <c r="F20" t="s">
        <v>107</v>
      </c>
      <c r="G20" t="s">
        <v>208</v>
      </c>
      <c r="H20" s="1" t="s">
        <v>237</v>
      </c>
      <c r="I20" s="1" t="s">
        <v>239</v>
      </c>
    </row>
    <row r="21" spans="1:9" x14ac:dyDescent="0.25">
      <c r="A21" s="52" t="s">
        <v>229</v>
      </c>
      <c r="B21" t="s">
        <v>102</v>
      </c>
      <c r="C21" s="37" t="s">
        <v>162</v>
      </c>
      <c r="D21" t="s">
        <v>77</v>
      </c>
      <c r="E21" t="s">
        <v>104</v>
      </c>
      <c r="F21" t="s">
        <v>109</v>
      </c>
      <c r="G21" t="s">
        <v>208</v>
      </c>
      <c r="H21" s="1" t="s">
        <v>236</v>
      </c>
      <c r="I21" s="1" t="s">
        <v>42</v>
      </c>
    </row>
    <row r="22" spans="1:9" x14ac:dyDescent="0.25">
      <c r="A22" s="52" t="s">
        <v>230</v>
      </c>
      <c r="B22" t="s">
        <v>102</v>
      </c>
      <c r="C22" s="37" t="s">
        <v>165</v>
      </c>
      <c r="D22" t="s">
        <v>77</v>
      </c>
      <c r="E22" t="s">
        <v>105</v>
      </c>
      <c r="F22" t="s">
        <v>103</v>
      </c>
      <c r="G22" t="s">
        <v>208</v>
      </c>
      <c r="H22" s="1" t="s">
        <v>236</v>
      </c>
      <c r="I22" s="1" t="s">
        <v>42</v>
      </c>
    </row>
    <row r="23" spans="1:9" x14ac:dyDescent="0.25">
      <c r="A23" s="40" t="s">
        <v>231</v>
      </c>
      <c r="B23" s="1" t="s">
        <v>102</v>
      </c>
      <c r="C23" s="35" t="s">
        <v>168</v>
      </c>
      <c r="D23" s="1" t="s">
        <v>77</v>
      </c>
      <c r="E23" s="1" t="s">
        <v>107</v>
      </c>
      <c r="F23" s="1" t="s">
        <v>110</v>
      </c>
      <c r="G23" t="s">
        <v>208</v>
      </c>
      <c r="H23" s="1" t="s">
        <v>238</v>
      </c>
      <c r="I23" s="1" t="s">
        <v>43</v>
      </c>
    </row>
    <row r="24" spans="1:9" x14ac:dyDescent="0.25">
      <c r="A24" s="40" t="s">
        <v>232</v>
      </c>
      <c r="B24" s="1" t="s">
        <v>102</v>
      </c>
      <c r="C24" s="35" t="s">
        <v>171</v>
      </c>
      <c r="D24" s="1" t="s">
        <v>77</v>
      </c>
      <c r="E24" s="1" t="s">
        <v>103</v>
      </c>
      <c r="F24" s="1" t="s">
        <v>112</v>
      </c>
      <c r="G24" t="s">
        <v>208</v>
      </c>
      <c r="H24" s="1" t="s">
        <v>238</v>
      </c>
      <c r="I24" s="1" t="s">
        <v>43</v>
      </c>
    </row>
    <row r="25" spans="1:9" x14ac:dyDescent="0.25">
      <c r="A25" s="40" t="s">
        <v>233</v>
      </c>
      <c r="B25" s="1" t="s">
        <v>102</v>
      </c>
      <c r="C25" s="35" t="s">
        <v>174</v>
      </c>
      <c r="D25" s="1" t="s">
        <v>77</v>
      </c>
      <c r="E25" s="1" t="s">
        <v>109</v>
      </c>
      <c r="F25" s="1" t="s">
        <v>105</v>
      </c>
      <c r="G25" t="s">
        <v>208</v>
      </c>
      <c r="H25" s="1" t="s">
        <v>237</v>
      </c>
      <c r="I25" s="1" t="s">
        <v>239</v>
      </c>
    </row>
    <row r="26" spans="1:9" x14ac:dyDescent="0.25">
      <c r="A26" s="40" t="s">
        <v>234</v>
      </c>
      <c r="B26" s="1" t="s">
        <v>102</v>
      </c>
      <c r="C26" s="35" t="s">
        <v>177</v>
      </c>
      <c r="D26" s="1" t="s">
        <v>77</v>
      </c>
      <c r="E26" s="1" t="s">
        <v>104</v>
      </c>
      <c r="F26" s="1" t="s">
        <v>110</v>
      </c>
      <c r="G26" t="s">
        <v>208</v>
      </c>
      <c r="H26" s="1" t="s">
        <v>237</v>
      </c>
      <c r="I26" s="1" t="s">
        <v>239</v>
      </c>
    </row>
    <row r="27" spans="1:9" x14ac:dyDescent="0.25">
      <c r="A27" s="40" t="s">
        <v>240</v>
      </c>
      <c r="B27" s="1" t="s">
        <v>102</v>
      </c>
      <c r="C27" s="35" t="s">
        <v>179</v>
      </c>
      <c r="D27" s="1" t="s">
        <v>77</v>
      </c>
      <c r="E27" s="1" t="s">
        <v>105</v>
      </c>
      <c r="F27" s="1" t="s">
        <v>112</v>
      </c>
      <c r="G27" t="s">
        <v>208</v>
      </c>
      <c r="H27" s="1" t="s">
        <v>236</v>
      </c>
      <c r="I27" s="1" t="s">
        <v>42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255</v>
      </c>
      <c r="B3" s="9"/>
      <c r="C3" s="9" t="s">
        <v>252</v>
      </c>
      <c r="D3" s="9"/>
      <c r="E3" s="9" t="s">
        <v>253</v>
      </c>
      <c r="F3" s="10"/>
      <c r="G3" s="10"/>
      <c r="H3" s="9" t="s">
        <v>254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241</v>
      </c>
      <c r="B6" s="18" t="s">
        <v>70</v>
      </c>
      <c r="C6" s="19" t="s">
        <v>71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242</v>
      </c>
      <c r="B7" s="23" t="s">
        <v>80</v>
      </c>
      <c r="C7" s="24" t="s">
        <v>81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243</v>
      </c>
      <c r="B8" s="23" t="s">
        <v>86</v>
      </c>
      <c r="C8" s="24" t="s">
        <v>87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244</v>
      </c>
      <c r="B9" s="23" t="s">
        <v>92</v>
      </c>
      <c r="C9" s="24" t="s">
        <v>80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245</v>
      </c>
      <c r="B10" s="23" t="s">
        <v>71</v>
      </c>
      <c r="C10" s="24" t="s">
        <v>86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246</v>
      </c>
      <c r="B11" s="23" t="s">
        <v>81</v>
      </c>
      <c r="C11" s="24" t="s">
        <v>70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247</v>
      </c>
      <c r="B12" s="23" t="s">
        <v>80</v>
      </c>
      <c r="C12" s="24" t="s">
        <v>87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248</v>
      </c>
      <c r="B13" s="23" t="s">
        <v>70</v>
      </c>
      <c r="C13" s="24" t="s">
        <v>92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249</v>
      </c>
      <c r="B14" s="23" t="s">
        <v>86</v>
      </c>
      <c r="C14" s="24" t="s">
        <v>81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250</v>
      </c>
      <c r="B15" s="23" t="s">
        <v>71</v>
      </c>
      <c r="C15" s="24" t="s">
        <v>87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251</v>
      </c>
      <c r="B16" s="23" t="s">
        <v>81</v>
      </c>
      <c r="C16" s="24" t="s">
        <v>92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267</v>
      </c>
      <c r="B3" s="9"/>
      <c r="C3" s="9" t="s">
        <v>252</v>
      </c>
      <c r="D3" s="9"/>
      <c r="E3" s="9" t="s">
        <v>253</v>
      </c>
      <c r="F3" s="10"/>
      <c r="G3" s="10"/>
      <c r="H3" s="9" t="s">
        <v>254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256</v>
      </c>
      <c r="B6" s="18" t="s">
        <v>99</v>
      </c>
      <c r="C6" s="19" t="s">
        <v>93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257</v>
      </c>
      <c r="B7" s="23" t="s">
        <v>105</v>
      </c>
      <c r="C7" s="24" t="s">
        <v>86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258</v>
      </c>
      <c r="B8" s="23" t="s">
        <v>70</v>
      </c>
      <c r="C8" s="24" t="s">
        <v>108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259</v>
      </c>
      <c r="B9" s="23" t="s">
        <v>111</v>
      </c>
      <c r="C9" s="24" t="s">
        <v>105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260</v>
      </c>
      <c r="B10" s="23" t="s">
        <v>93</v>
      </c>
      <c r="C10" s="24" t="s">
        <v>70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261</v>
      </c>
      <c r="B11" s="23" t="s">
        <v>86</v>
      </c>
      <c r="C11" s="24" t="s">
        <v>99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262</v>
      </c>
      <c r="B12" s="23" t="s">
        <v>105</v>
      </c>
      <c r="C12" s="24" t="s">
        <v>108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263</v>
      </c>
      <c r="B13" s="23" t="s">
        <v>99</v>
      </c>
      <c r="C13" s="24" t="s">
        <v>111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264</v>
      </c>
      <c r="B14" s="23" t="s">
        <v>70</v>
      </c>
      <c r="C14" s="24" t="s">
        <v>86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265</v>
      </c>
      <c r="B15" s="23" t="s">
        <v>93</v>
      </c>
      <c r="C15" s="24" t="s">
        <v>108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266</v>
      </c>
      <c r="B16" s="23" t="s">
        <v>86</v>
      </c>
      <c r="C16" s="24" t="s">
        <v>111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255</v>
      </c>
      <c r="B3" s="9"/>
      <c r="C3" s="9" t="s">
        <v>252</v>
      </c>
      <c r="D3" s="9"/>
      <c r="E3" s="9" t="s">
        <v>253</v>
      </c>
      <c r="F3" s="10"/>
      <c r="G3" s="10"/>
      <c r="H3" s="9" t="s">
        <v>268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241</v>
      </c>
      <c r="B6" s="18" t="s">
        <v>74</v>
      </c>
      <c r="C6" s="19" t="s">
        <v>75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242</v>
      </c>
      <c r="B7" s="23" t="s">
        <v>82</v>
      </c>
      <c r="C7" s="24" t="s">
        <v>83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243</v>
      </c>
      <c r="B8" s="23" t="s">
        <v>88</v>
      </c>
      <c r="C8" s="24" t="s">
        <v>89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244</v>
      </c>
      <c r="B9" s="23" t="s">
        <v>93</v>
      </c>
      <c r="C9" s="24" t="s">
        <v>82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245</v>
      </c>
      <c r="B10" s="23" t="s">
        <v>75</v>
      </c>
      <c r="C10" s="24" t="s">
        <v>88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246</v>
      </c>
      <c r="B11" s="23" t="s">
        <v>83</v>
      </c>
      <c r="C11" s="24" t="s">
        <v>74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247</v>
      </c>
      <c r="B12" s="23" t="s">
        <v>82</v>
      </c>
      <c r="C12" s="24" t="s">
        <v>89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248</v>
      </c>
      <c r="B13" s="23" t="s">
        <v>74</v>
      </c>
      <c r="C13" s="24" t="s">
        <v>93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249</v>
      </c>
      <c r="B14" s="23" t="s">
        <v>88</v>
      </c>
      <c r="C14" s="24" t="s">
        <v>83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250</v>
      </c>
      <c r="B15" s="23" t="s">
        <v>75</v>
      </c>
      <c r="C15" s="24" t="s">
        <v>89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251</v>
      </c>
      <c r="B16" s="23" t="s">
        <v>83</v>
      </c>
      <c r="C16" s="24" t="s">
        <v>93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267</v>
      </c>
      <c r="B3" s="9"/>
      <c r="C3" s="9" t="s">
        <v>252</v>
      </c>
      <c r="D3" s="9"/>
      <c r="E3" s="9" t="s">
        <v>253</v>
      </c>
      <c r="F3" s="10"/>
      <c r="G3" s="10"/>
      <c r="H3" s="9" t="s">
        <v>268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256</v>
      </c>
      <c r="B6" s="18" t="s">
        <v>83</v>
      </c>
      <c r="C6" s="19" t="s">
        <v>97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257</v>
      </c>
      <c r="B7" s="23" t="s">
        <v>100</v>
      </c>
      <c r="C7" s="24" t="s">
        <v>101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258</v>
      </c>
      <c r="B8" s="23" t="s">
        <v>106</v>
      </c>
      <c r="C8" s="24" t="s">
        <v>71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259</v>
      </c>
      <c r="B9" s="23" t="s">
        <v>80</v>
      </c>
      <c r="C9" s="24" t="s">
        <v>100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260</v>
      </c>
      <c r="B10" s="23" t="s">
        <v>97</v>
      </c>
      <c r="C10" s="24" t="s">
        <v>106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261</v>
      </c>
      <c r="B11" s="23" t="s">
        <v>101</v>
      </c>
      <c r="C11" s="24" t="s">
        <v>83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262</v>
      </c>
      <c r="B12" s="23" t="s">
        <v>100</v>
      </c>
      <c r="C12" s="24" t="s">
        <v>71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263</v>
      </c>
      <c r="B13" s="23" t="s">
        <v>83</v>
      </c>
      <c r="C13" s="24" t="s">
        <v>80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264</v>
      </c>
      <c r="B14" s="23" t="s">
        <v>106</v>
      </c>
      <c r="C14" s="24" t="s">
        <v>101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265</v>
      </c>
      <c r="B15" s="23" t="s">
        <v>97</v>
      </c>
      <c r="C15" s="24" t="s">
        <v>71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266</v>
      </c>
      <c r="B16" s="23" t="s">
        <v>101</v>
      </c>
      <c r="C16" s="24" t="s">
        <v>80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267</v>
      </c>
      <c r="B3" s="9"/>
      <c r="C3" s="9" t="s">
        <v>252</v>
      </c>
      <c r="D3" s="9"/>
      <c r="E3" s="9" t="s">
        <v>253</v>
      </c>
      <c r="F3" s="10"/>
      <c r="G3" s="10"/>
      <c r="H3" s="9" t="s">
        <v>269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241</v>
      </c>
      <c r="B6" s="18" t="s">
        <v>78</v>
      </c>
      <c r="C6" s="19" t="s">
        <v>79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242</v>
      </c>
      <c r="B7" s="23" t="s">
        <v>84</v>
      </c>
      <c r="C7" s="24" t="s">
        <v>85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243</v>
      </c>
      <c r="B8" s="23" t="s">
        <v>90</v>
      </c>
      <c r="C8" s="24" t="s">
        <v>91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244</v>
      </c>
      <c r="B9" s="23" t="s">
        <v>94</v>
      </c>
      <c r="C9" s="24" t="s">
        <v>95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245</v>
      </c>
      <c r="B10" s="23" t="s">
        <v>78</v>
      </c>
      <c r="C10" s="24" t="s">
        <v>85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246</v>
      </c>
      <c r="B11" s="23" t="s">
        <v>79</v>
      </c>
      <c r="C11" s="24" t="s">
        <v>84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247</v>
      </c>
      <c r="B12" s="23" t="s">
        <v>95</v>
      </c>
      <c r="C12" s="24" t="s">
        <v>90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248</v>
      </c>
      <c r="B13" s="23" t="s">
        <v>91</v>
      </c>
      <c r="C13" s="24" t="s">
        <v>94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 t="s">
        <v>249</v>
      </c>
      <c r="B14" s="23" t="s">
        <v>85</v>
      </c>
      <c r="C14" s="24" t="s">
        <v>79</v>
      </c>
      <c r="D14" s="25"/>
      <c r="E14" s="26"/>
      <c r="F14" s="23"/>
      <c r="G14" s="24"/>
      <c r="H14" s="25"/>
      <c r="I14" s="24"/>
    </row>
    <row r="15" spans="1:9" ht="33" customHeight="1" x14ac:dyDescent="0.25">
      <c r="A15" s="22" t="s">
        <v>250</v>
      </c>
      <c r="B15" s="23" t="s">
        <v>84</v>
      </c>
      <c r="C15" s="24" t="s">
        <v>78</v>
      </c>
      <c r="D15" s="25"/>
      <c r="E15" s="26"/>
      <c r="F15" s="23"/>
      <c r="G15" s="24"/>
      <c r="H15" s="25"/>
      <c r="I15" s="24"/>
    </row>
    <row r="16" spans="1:9" ht="33" customHeight="1" x14ac:dyDescent="0.25">
      <c r="A16" s="22" t="s">
        <v>251</v>
      </c>
      <c r="B16" s="23" t="s">
        <v>91</v>
      </c>
      <c r="C16" s="24" t="s">
        <v>95</v>
      </c>
      <c r="D16" s="25"/>
      <c r="E16" s="26"/>
      <c r="F16" s="23"/>
      <c r="G16" s="24"/>
      <c r="H16" s="25"/>
      <c r="I16" s="24"/>
    </row>
    <row r="17" spans="1:9" ht="33" customHeight="1" x14ac:dyDescent="0.25">
      <c r="A17" s="22" t="s">
        <v>256</v>
      </c>
      <c r="B17" s="23" t="s">
        <v>94</v>
      </c>
      <c r="C17" s="24" t="s">
        <v>90</v>
      </c>
      <c r="D17" s="25"/>
      <c r="E17" s="26"/>
      <c r="F17" s="23"/>
      <c r="G17" s="24"/>
      <c r="H17" s="25"/>
      <c r="I17" s="24"/>
    </row>
    <row r="18" spans="1:9" ht="33" customHeight="1" x14ac:dyDescent="0.25">
      <c r="A18" s="22" t="s">
        <v>257</v>
      </c>
      <c r="B18" s="23" t="s">
        <v>103</v>
      </c>
      <c r="C18" s="24" t="s">
        <v>104</v>
      </c>
      <c r="D18" s="25"/>
      <c r="E18" s="26"/>
      <c r="F18" s="23"/>
      <c r="G18" s="24"/>
      <c r="H18" s="25"/>
      <c r="I18" s="24"/>
    </row>
    <row r="19" spans="1:9" ht="33" customHeight="1" x14ac:dyDescent="0.25">
      <c r="A19" s="22" t="s">
        <v>258</v>
      </c>
      <c r="B19" s="23" t="s">
        <v>107</v>
      </c>
      <c r="C19" s="24" t="s">
        <v>105</v>
      </c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 t="s">
        <v>259</v>
      </c>
      <c r="B20" s="28" t="s">
        <v>109</v>
      </c>
      <c r="C20" s="29" t="s">
        <v>110</v>
      </c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267</v>
      </c>
      <c r="B3" s="9"/>
      <c r="C3" s="9" t="s">
        <v>252</v>
      </c>
      <c r="D3" s="9"/>
      <c r="E3" s="9" t="s">
        <v>253</v>
      </c>
      <c r="F3" s="10"/>
      <c r="G3" s="10"/>
      <c r="H3" s="9" t="s">
        <v>269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 t="s">
        <v>260</v>
      </c>
      <c r="B6" s="18" t="s">
        <v>112</v>
      </c>
      <c r="C6" s="19" t="s">
        <v>107</v>
      </c>
      <c r="D6" s="20"/>
      <c r="E6" s="21"/>
      <c r="F6" s="18"/>
      <c r="G6" s="19"/>
      <c r="H6" s="20"/>
      <c r="I6" s="19"/>
    </row>
    <row r="7" spans="1:9" ht="33" customHeight="1" x14ac:dyDescent="0.25">
      <c r="A7" s="22" t="s">
        <v>261</v>
      </c>
      <c r="B7" s="23" t="s">
        <v>104</v>
      </c>
      <c r="C7" s="24" t="s">
        <v>109</v>
      </c>
      <c r="D7" s="25"/>
      <c r="E7" s="26"/>
      <c r="F7" s="23"/>
      <c r="G7" s="24"/>
      <c r="H7" s="25"/>
      <c r="I7" s="24"/>
    </row>
    <row r="8" spans="1:9" ht="33" customHeight="1" x14ac:dyDescent="0.25">
      <c r="A8" s="22" t="s">
        <v>262</v>
      </c>
      <c r="B8" s="23" t="s">
        <v>105</v>
      </c>
      <c r="C8" s="24" t="s">
        <v>103</v>
      </c>
      <c r="D8" s="25"/>
      <c r="E8" s="26"/>
      <c r="F8" s="23"/>
      <c r="G8" s="24"/>
      <c r="H8" s="25"/>
      <c r="I8" s="24"/>
    </row>
    <row r="9" spans="1:9" ht="33" customHeight="1" x14ac:dyDescent="0.25">
      <c r="A9" s="22" t="s">
        <v>263</v>
      </c>
      <c r="B9" s="23" t="s">
        <v>107</v>
      </c>
      <c r="C9" s="24" t="s">
        <v>110</v>
      </c>
      <c r="D9" s="25"/>
      <c r="E9" s="26"/>
      <c r="F9" s="23"/>
      <c r="G9" s="24"/>
      <c r="H9" s="25"/>
      <c r="I9" s="24"/>
    </row>
    <row r="10" spans="1:9" ht="33" customHeight="1" x14ac:dyDescent="0.25">
      <c r="A10" s="22" t="s">
        <v>264</v>
      </c>
      <c r="B10" s="23" t="s">
        <v>103</v>
      </c>
      <c r="C10" s="24" t="s">
        <v>112</v>
      </c>
      <c r="D10" s="25"/>
      <c r="E10" s="26"/>
      <c r="F10" s="23"/>
      <c r="G10" s="24"/>
      <c r="H10" s="25"/>
      <c r="I10" s="24"/>
    </row>
    <row r="11" spans="1:9" ht="33" customHeight="1" x14ac:dyDescent="0.25">
      <c r="A11" s="22" t="s">
        <v>265</v>
      </c>
      <c r="B11" s="23" t="s">
        <v>109</v>
      </c>
      <c r="C11" s="24" t="s">
        <v>105</v>
      </c>
      <c r="D11" s="25"/>
      <c r="E11" s="26"/>
      <c r="F11" s="23"/>
      <c r="G11" s="24"/>
      <c r="H11" s="25"/>
      <c r="I11" s="24"/>
    </row>
    <row r="12" spans="1:9" ht="33" customHeight="1" x14ac:dyDescent="0.25">
      <c r="A12" s="22" t="s">
        <v>266</v>
      </c>
      <c r="B12" s="23" t="s">
        <v>104</v>
      </c>
      <c r="C12" s="24" t="s">
        <v>110</v>
      </c>
      <c r="D12" s="25"/>
      <c r="E12" s="26"/>
      <c r="F12" s="23"/>
      <c r="G12" s="24"/>
      <c r="H12" s="25"/>
      <c r="I12" s="24"/>
    </row>
    <row r="13" spans="1:9" ht="33" customHeight="1" x14ac:dyDescent="0.25">
      <c r="A13" s="22" t="s">
        <v>270</v>
      </c>
      <c r="B13" s="23" t="s">
        <v>105</v>
      </c>
      <c r="C13" s="24" t="s">
        <v>112</v>
      </c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0"/>
  <sheetViews>
    <sheetView workbookViewId="0">
      <selection activeCell="D3" sqref="D3"/>
    </sheetView>
  </sheetViews>
  <sheetFormatPr defaultRowHeight="15" x14ac:dyDescent="0.25"/>
  <cols>
    <col min="1" max="1" width="13.7109375" bestFit="1" customWidth="1"/>
    <col min="2" max="2" width="10.28515625" bestFit="1" customWidth="1"/>
    <col min="3" max="3" width="14.5703125" bestFit="1" customWidth="1"/>
    <col min="4" max="4" width="25.85546875" bestFit="1" customWidth="1"/>
    <col min="5" max="5" width="9.42578125" bestFit="1" customWidth="1"/>
  </cols>
  <sheetData>
    <row r="1" spans="1:5" x14ac:dyDescent="0.25">
      <c r="A1" s="48" t="s">
        <v>271</v>
      </c>
      <c r="B1" s="48"/>
      <c r="C1" s="48"/>
      <c r="D1" s="48"/>
      <c r="E1" s="48"/>
    </row>
    <row r="2" spans="1:5" x14ac:dyDescent="0.25">
      <c r="A2" s="48" t="s">
        <v>272</v>
      </c>
      <c r="B2" s="48" t="s">
        <v>273</v>
      </c>
      <c r="C2" s="48" t="s">
        <v>274</v>
      </c>
      <c r="D2" s="48" t="s">
        <v>275</v>
      </c>
      <c r="E2" s="48" t="s">
        <v>276</v>
      </c>
    </row>
    <row r="3" spans="1:5" x14ac:dyDescent="0.25">
      <c r="A3" t="s">
        <v>82</v>
      </c>
      <c r="B3">
        <v>1</v>
      </c>
      <c r="C3">
        <v>3</v>
      </c>
      <c r="D3">
        <v>3</v>
      </c>
      <c r="E3">
        <v>240</v>
      </c>
    </row>
    <row r="4" spans="1:5" x14ac:dyDescent="0.25">
      <c r="A4" t="s">
        <v>86</v>
      </c>
      <c r="B4">
        <v>2</v>
      </c>
      <c r="C4">
        <v>6</v>
      </c>
      <c r="D4">
        <v>6</v>
      </c>
      <c r="E4">
        <v>480</v>
      </c>
    </row>
    <row r="5" spans="1:5" x14ac:dyDescent="0.25">
      <c r="A5" t="s">
        <v>80</v>
      </c>
      <c r="B5">
        <v>1</v>
      </c>
      <c r="C5">
        <v>3</v>
      </c>
      <c r="D5">
        <v>3</v>
      </c>
      <c r="E5">
        <v>240</v>
      </c>
    </row>
    <row r="6" spans="1:5" x14ac:dyDescent="0.25">
      <c r="A6" t="s">
        <v>70</v>
      </c>
      <c r="B6">
        <v>2</v>
      </c>
      <c r="C6">
        <v>6</v>
      </c>
      <c r="D6">
        <v>6</v>
      </c>
      <c r="E6">
        <v>480</v>
      </c>
    </row>
    <row r="7" spans="1:5" x14ac:dyDescent="0.25">
      <c r="A7" t="s">
        <v>87</v>
      </c>
      <c r="B7">
        <v>2</v>
      </c>
      <c r="C7">
        <v>6</v>
      </c>
      <c r="D7">
        <v>6</v>
      </c>
      <c r="E7">
        <v>480</v>
      </c>
    </row>
    <row r="8" spans="1:5" x14ac:dyDescent="0.25">
      <c r="A8" t="s">
        <v>92</v>
      </c>
      <c r="B8">
        <v>2</v>
      </c>
      <c r="C8">
        <v>6</v>
      </c>
      <c r="D8">
        <v>6</v>
      </c>
      <c r="E8">
        <v>480</v>
      </c>
    </row>
    <row r="9" spans="1:5" x14ac:dyDescent="0.25">
      <c r="A9" t="s">
        <v>71</v>
      </c>
      <c r="B9">
        <v>2</v>
      </c>
      <c r="C9">
        <v>7</v>
      </c>
      <c r="D9">
        <v>7</v>
      </c>
      <c r="E9">
        <v>560</v>
      </c>
    </row>
    <row r="10" spans="1:5" x14ac:dyDescent="0.25">
      <c r="A10" t="s">
        <v>81</v>
      </c>
      <c r="B10">
        <v>2</v>
      </c>
      <c r="C10">
        <v>7</v>
      </c>
      <c r="D10">
        <v>7</v>
      </c>
      <c r="E10">
        <v>560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19"/>
  <sheetViews>
    <sheetView workbookViewId="0"/>
  </sheetViews>
  <sheetFormatPr defaultRowHeight="15" x14ac:dyDescent="0.25"/>
  <cols>
    <col min="1" max="1" width="15.28515625" bestFit="1" customWidth="1"/>
    <col min="2" max="2" width="10.28515625" bestFit="1" customWidth="1"/>
    <col min="3" max="3" width="14.5703125" bestFit="1" customWidth="1"/>
    <col min="4" max="4" width="25.85546875" bestFit="1" customWidth="1"/>
    <col min="5" max="5" width="9.42578125" bestFit="1" customWidth="1"/>
  </cols>
  <sheetData>
    <row r="1" spans="1:5" x14ac:dyDescent="0.25">
      <c r="A1" s="48" t="s">
        <v>277</v>
      </c>
      <c r="B1" s="48"/>
      <c r="C1" s="48"/>
      <c r="D1" s="48"/>
      <c r="E1" s="48"/>
    </row>
    <row r="2" spans="1:5" x14ac:dyDescent="0.25">
      <c r="A2" s="48" t="s">
        <v>272</v>
      </c>
      <c r="B2" s="48" t="s">
        <v>273</v>
      </c>
      <c r="C2" s="48" t="s">
        <v>274</v>
      </c>
      <c r="D2" s="48" t="s">
        <v>275</v>
      </c>
      <c r="E2" s="48" t="s">
        <v>276</v>
      </c>
    </row>
    <row r="3" spans="1:5" x14ac:dyDescent="0.25">
      <c r="A3" t="s">
        <v>103</v>
      </c>
      <c r="B3">
        <v>1</v>
      </c>
      <c r="C3">
        <v>3</v>
      </c>
      <c r="D3">
        <v>3</v>
      </c>
      <c r="E3">
        <v>240</v>
      </c>
    </row>
    <row r="4" spans="1:5" x14ac:dyDescent="0.25">
      <c r="A4" t="s">
        <v>86</v>
      </c>
      <c r="B4">
        <v>2</v>
      </c>
      <c r="C4">
        <v>7</v>
      </c>
      <c r="D4">
        <v>7</v>
      </c>
      <c r="E4">
        <v>560</v>
      </c>
    </row>
    <row r="5" spans="1:5" x14ac:dyDescent="0.25">
      <c r="A5" t="s">
        <v>84</v>
      </c>
      <c r="B5">
        <v>2</v>
      </c>
      <c r="C5">
        <v>6</v>
      </c>
      <c r="D5">
        <v>6</v>
      </c>
      <c r="E5">
        <v>480</v>
      </c>
    </row>
    <row r="6" spans="1:5" x14ac:dyDescent="0.25">
      <c r="A6" t="s">
        <v>80</v>
      </c>
      <c r="B6">
        <v>2</v>
      </c>
      <c r="C6">
        <v>6</v>
      </c>
      <c r="D6">
        <v>6</v>
      </c>
      <c r="E6">
        <v>480</v>
      </c>
    </row>
    <row r="7" spans="1:5" x14ac:dyDescent="0.25">
      <c r="A7" t="s">
        <v>70</v>
      </c>
      <c r="B7">
        <v>1</v>
      </c>
      <c r="C7">
        <v>3</v>
      </c>
      <c r="D7">
        <v>3</v>
      </c>
      <c r="E7">
        <v>240</v>
      </c>
    </row>
    <row r="8" spans="1:5" x14ac:dyDescent="0.25">
      <c r="A8" t="s">
        <v>79</v>
      </c>
      <c r="B8">
        <v>2</v>
      </c>
      <c r="C8">
        <v>6</v>
      </c>
      <c r="D8">
        <v>6</v>
      </c>
      <c r="E8">
        <v>480</v>
      </c>
    </row>
    <row r="9" spans="1:5" x14ac:dyDescent="0.25">
      <c r="A9" t="s">
        <v>105</v>
      </c>
      <c r="B9">
        <v>2</v>
      </c>
      <c r="C9">
        <v>10</v>
      </c>
      <c r="D9">
        <v>10</v>
      </c>
      <c r="E9">
        <v>800</v>
      </c>
    </row>
    <row r="10" spans="1:5" x14ac:dyDescent="0.25">
      <c r="A10" t="s">
        <v>71</v>
      </c>
      <c r="B10">
        <v>2</v>
      </c>
      <c r="C10">
        <v>6</v>
      </c>
      <c r="D10">
        <v>6</v>
      </c>
      <c r="E10">
        <v>480</v>
      </c>
    </row>
    <row r="11" spans="1:5" x14ac:dyDescent="0.25">
      <c r="A11" t="s">
        <v>101</v>
      </c>
      <c r="B11">
        <v>3</v>
      </c>
      <c r="C11">
        <v>10</v>
      </c>
      <c r="D11">
        <v>10</v>
      </c>
      <c r="E11">
        <v>800</v>
      </c>
    </row>
    <row r="12" spans="1:5" x14ac:dyDescent="0.25">
      <c r="A12" t="s">
        <v>78</v>
      </c>
      <c r="B12">
        <v>2</v>
      </c>
      <c r="C12">
        <v>6</v>
      </c>
      <c r="D12">
        <v>6</v>
      </c>
      <c r="E12">
        <v>480</v>
      </c>
    </row>
    <row r="13" spans="1:5" x14ac:dyDescent="0.25">
      <c r="A13" t="s">
        <v>85</v>
      </c>
      <c r="B13">
        <v>1</v>
      </c>
      <c r="C13">
        <v>3</v>
      </c>
      <c r="D13">
        <v>3</v>
      </c>
      <c r="E13">
        <v>240</v>
      </c>
    </row>
    <row r="14" spans="1:5" x14ac:dyDescent="0.25">
      <c r="A14" t="s">
        <v>112</v>
      </c>
      <c r="B14">
        <v>1</v>
      </c>
      <c r="C14">
        <v>3</v>
      </c>
      <c r="D14">
        <v>3</v>
      </c>
      <c r="E14">
        <v>240</v>
      </c>
    </row>
    <row r="15" spans="1:5" x14ac:dyDescent="0.25">
      <c r="A15" t="s">
        <v>108</v>
      </c>
      <c r="B15">
        <v>3</v>
      </c>
      <c r="C15">
        <v>9</v>
      </c>
      <c r="D15">
        <v>9</v>
      </c>
      <c r="E15">
        <v>720</v>
      </c>
    </row>
    <row r="16" spans="1:5" x14ac:dyDescent="0.25">
      <c r="A16" t="s">
        <v>111</v>
      </c>
      <c r="B16">
        <v>1</v>
      </c>
      <c r="C16">
        <v>3</v>
      </c>
      <c r="D16">
        <v>3</v>
      </c>
      <c r="E16">
        <v>240</v>
      </c>
    </row>
    <row r="17" spans="1:5" x14ac:dyDescent="0.25">
      <c r="A17" t="s">
        <v>109</v>
      </c>
      <c r="B17">
        <v>1</v>
      </c>
      <c r="C17">
        <v>3</v>
      </c>
      <c r="D17">
        <v>3</v>
      </c>
      <c r="E17">
        <v>240</v>
      </c>
    </row>
    <row r="18" spans="1:5" x14ac:dyDescent="0.25">
      <c r="A18" t="s">
        <v>95</v>
      </c>
      <c r="B18">
        <v>1</v>
      </c>
      <c r="C18">
        <v>3</v>
      </c>
      <c r="D18">
        <v>3</v>
      </c>
      <c r="E18">
        <v>240</v>
      </c>
    </row>
    <row r="19" spans="1:5" x14ac:dyDescent="0.25">
      <c r="A19" t="s">
        <v>100</v>
      </c>
      <c r="B19">
        <v>1</v>
      </c>
      <c r="C19">
        <v>3</v>
      </c>
      <c r="D19">
        <v>3</v>
      </c>
      <c r="E19">
        <v>240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33"/>
  <sheetViews>
    <sheetView tabSelected="1" view="pageLayout" topLeftCell="A7" zoomScaleNormal="100" workbookViewId="0">
      <selection activeCell="H25" sqref="H25"/>
    </sheetView>
  </sheetViews>
  <sheetFormatPr defaultRowHeight="15" x14ac:dyDescent="0.25"/>
  <cols>
    <col min="1" max="1" width="11" customWidth="1"/>
    <col min="4" max="4" width="10.140625" bestFit="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 x14ac:dyDescent="0.25"/>
    <row r="2" spans="1:9" ht="27" customHeight="1" x14ac:dyDescent="0.25"/>
    <row r="3" spans="1:9" ht="53.25" customHeight="1" x14ac:dyDescent="0.25">
      <c r="A3" s="58" t="str">
        <f>UPPER("Kvittering for betaling av dommere i BARNEHÅNDBALLturneringer")</f>
        <v>KVITTERING FOR BETALING AV DOMMERE I BARNEHÅNDBALLTURNERINGER</v>
      </c>
      <c r="B3" s="58"/>
      <c r="C3" s="58"/>
      <c r="D3" s="58"/>
      <c r="E3" s="58"/>
      <c r="F3" s="58"/>
      <c r="G3" s="58"/>
      <c r="H3" s="58"/>
      <c r="I3" s="58"/>
    </row>
    <row r="4" spans="1:9" ht="7.5" customHeight="1" x14ac:dyDescent="0.25"/>
    <row r="5" spans="1:9" ht="22.5" x14ac:dyDescent="0.4">
      <c r="A5" s="59" t="s">
        <v>192</v>
      </c>
      <c r="B5" s="75" t="str">
        <f>'Lag  G10'!A3</f>
        <v>Bamble</v>
      </c>
      <c r="C5" s="75"/>
      <c r="D5" s="75"/>
      <c r="E5" s="75"/>
      <c r="F5" s="75"/>
      <c r="G5" s="75"/>
      <c r="H5" s="75"/>
    </row>
    <row r="8" spans="1:9" ht="22.5" x14ac:dyDescent="0.4">
      <c r="A8" s="59" t="s">
        <v>193</v>
      </c>
      <c r="B8" s="76">
        <f>Grunndata!B1</f>
        <v>42827</v>
      </c>
      <c r="C8" s="75"/>
      <c r="D8" s="75"/>
    </row>
    <row r="10" spans="1:9" ht="22.5" x14ac:dyDescent="0.4">
      <c r="A10" s="59" t="s">
        <v>194</v>
      </c>
      <c r="B10" s="75" t="str">
        <f>Grunndata!E1</f>
        <v>Slagenhallen</v>
      </c>
      <c r="C10" s="75"/>
      <c r="D10" s="75"/>
      <c r="E10" s="75"/>
      <c r="F10" s="75"/>
      <c r="G10" s="75"/>
      <c r="H10" s="75"/>
    </row>
    <row r="12" spans="1:9" ht="51" customHeight="1" x14ac:dyDescent="0.25"/>
    <row r="13" spans="1:9" ht="22.5" x14ac:dyDescent="0.4">
      <c r="A13" s="59" t="s">
        <v>195</v>
      </c>
      <c r="F13" s="62"/>
      <c r="G13" s="63" t="s">
        <v>196</v>
      </c>
      <c r="H13" s="62"/>
    </row>
    <row r="14" spans="1:9" ht="14.25" customHeight="1" x14ac:dyDescent="0.4">
      <c r="A14" s="59"/>
      <c r="F14" s="69"/>
      <c r="G14" s="63"/>
      <c r="H14" s="69"/>
    </row>
    <row r="16" spans="1:9" ht="22.5" x14ac:dyDescent="0.4">
      <c r="A16" s="59" t="s">
        <v>197</v>
      </c>
      <c r="F16" s="62"/>
      <c r="G16" s="63" t="s">
        <v>198</v>
      </c>
      <c r="H16" s="62"/>
    </row>
    <row r="17" spans="1:8" ht="14.25" customHeight="1" x14ac:dyDescent="0.4">
      <c r="A17" s="59"/>
      <c r="F17" s="69"/>
      <c r="G17" s="63"/>
      <c r="H17" s="69"/>
    </row>
    <row r="19" spans="1:8" ht="22.5" x14ac:dyDescent="0.4">
      <c r="A19" s="59" t="s">
        <v>199</v>
      </c>
      <c r="G19" s="63" t="s">
        <v>200</v>
      </c>
      <c r="H19" s="77">
        <f>'Lag  G10'!E3</f>
        <v>240</v>
      </c>
    </row>
    <row r="21" spans="1:8" ht="31.5" customHeight="1" x14ac:dyDescent="0.25"/>
    <row r="27" spans="1:8" x14ac:dyDescent="0.25">
      <c r="A27" s="47" t="str">
        <f>Grunndata!E1</f>
        <v>Slagenhallen</v>
      </c>
      <c r="D27" s="78">
        <f>Grunndata!B1</f>
        <v>42827</v>
      </c>
    </row>
    <row r="28" spans="1:8" ht="18" x14ac:dyDescent="0.35">
      <c r="A28" s="64" t="s">
        <v>201</v>
      </c>
      <c r="B28" s="64"/>
      <c r="C28" s="65"/>
      <c r="D28" s="66" t="s">
        <v>9</v>
      </c>
      <c r="E28" s="67"/>
    </row>
    <row r="33" spans="1:5" ht="18" x14ac:dyDescent="0.25">
      <c r="A33" s="68" t="s">
        <v>202</v>
      </c>
      <c r="B33" s="68"/>
      <c r="C33" s="68"/>
      <c r="D33" s="68"/>
      <c r="E33" s="68"/>
    </row>
  </sheetData>
  <mergeCells count="6">
    <mergeCell ref="A3:I3"/>
    <mergeCell ref="B5:H5"/>
    <mergeCell ref="B8:D8"/>
    <mergeCell ref="B10:H10"/>
    <mergeCell ref="A28:B28"/>
    <mergeCell ref="A33:E33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Hjelp</vt:lpstr>
      <vt:lpstr>Grunndata</vt:lpstr>
      <vt:lpstr>Kamprapport mal</vt:lpstr>
      <vt:lpstr>Dommere</vt:lpstr>
      <vt:lpstr>Kvitering mal</vt:lpstr>
      <vt:lpstr>Slagenhallen 1</vt:lpstr>
      <vt:lpstr>Slagenhallen 2</vt:lpstr>
      <vt:lpstr>Slagenhallen 3</vt:lpstr>
      <vt:lpstr>Kamprapport bane 1  G10 ( s1 )</vt:lpstr>
      <vt:lpstr>Kamprapport bane 1  G9  ( s1 )</vt:lpstr>
      <vt:lpstr>Kamprapport bane 2  G10 ( s1 )</vt:lpstr>
      <vt:lpstr>Kamprapport bane 2  G9  ( s1 )</vt:lpstr>
      <vt:lpstr>Kamprapport bane 3  G9  ( s1 )</vt:lpstr>
      <vt:lpstr>Kamprapport bane 3  G9  ( s2 )</vt:lpstr>
      <vt:lpstr>Lag  G10</vt:lpstr>
      <vt:lpstr>Lag  G9 </vt:lpstr>
      <vt:lpstr>Kvitering mal (2)</vt:lpstr>
      <vt:lpstr>'Kamprapport bane 1  G10 ( s1 )'!Print_Area</vt:lpstr>
      <vt:lpstr>'Kamprapport bane 1  G9  ( s1 )'!Print_Area</vt:lpstr>
      <vt:lpstr>'Kamprapport bane 2  G10 ( s1 )'!Print_Area</vt:lpstr>
      <vt:lpstr>'Kamprapport bane 2  G9  ( s1 )'!Print_Area</vt:lpstr>
      <vt:lpstr>'Kamprapport bane 3  G9  ( s1 )'!Print_Area</vt:lpstr>
      <vt:lpstr>'Kamprapport bane 3  G9  ( s2 )'!Print_Area</vt:lpstr>
      <vt:lpstr>'Kamprapport mal'!Print_Area</vt:lpstr>
      <vt:lpstr>'Kvitering mal'!Print_Area</vt:lpstr>
      <vt:lpstr>'Kvitering mal (2)'!Print_Area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2017-04-15T07:55:35Z</cp:lastPrinted>
  <dcterms:created xsi:type="dcterms:W3CDTF">2017-02-16T05:22:27Z</dcterms:created>
  <dcterms:modified xsi:type="dcterms:W3CDTF">2017-04-15T08:17:48Z</dcterms:modified>
</cp:coreProperties>
</file>