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Kamprapport mal" sheetId="43" r:id="rId3"/>
    <sheet name="Dommere" sheetId="199" r:id="rId4"/>
  </sheets>
  <functionGroups builtInGroupCount="18"/>
  <definedNames>
    <definedName name="_xlnm._FilterDatabase" localSheetId="1" hidden="1">Grunndata!$E$5:$I$72</definedName>
    <definedName name="_xlnm.Print_Area" localSheetId="2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<sst xmlns="http://schemas.openxmlformats.org/spreadsheetml/2006/main" count="491" uniqueCount="192">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</sst>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4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3" fillId="0" borderId="0"/>
    <xf numFmtId="0" fontId="18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7" fillId="0" borderId="0" xfId="0" applyFont="1"/>
    <xf numFmtId="0" fontId="18" fillId="0" borderId="0" xfId="2"/>
    <xf numFmtId="0" fontId="0" fillId="0" borderId="0" xfId="0" applyFont="1"/>
    <xf numFmtId="0" fontId="16" fillId="0" borderId="0" xfId="0" applyFont="1"/>
    <xf numFmtId="0" fontId="14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5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 x14ac:dyDescent="0.25"/>
  <sheetData>
    <row r="3" spans="2:3" ht="21" x14ac:dyDescent="0.35">
      <c r="B3" s="45" t="s">
        <v>55</v>
      </c>
    </row>
    <row r="5" spans="2:3" x14ac:dyDescent="0.25">
      <c r="B5" t="s">
        <v>54</v>
      </c>
    </row>
    <row r="7" spans="2:3" x14ac:dyDescent="0.25">
      <c r="B7" t="s">
        <v>53</v>
      </c>
    </row>
    <row r="14" spans="2:3" x14ac:dyDescent="0.25">
      <c r="B14" t="s">
        <v>56</v>
      </c>
      <c r="C14" s="46" t="s">
        <v>57</v>
      </c>
    </row>
    <row r="50" spans="2:2" x14ac:dyDescent="0.25">
      <c r="B50" t="s">
        <v>58</v>
      </c>
    </row>
    <row r="73" spans="2:12" x14ac:dyDescent="0.25">
      <c r="B73" t="s">
        <v>59</v>
      </c>
    </row>
    <row r="75" spans="2:12" x14ac:dyDescent="0.25">
      <c r="L75" t="s">
        <v>60</v>
      </c>
    </row>
    <row r="95" spans="2:2" x14ac:dyDescent="0.25">
      <c r="B95" s="48" t="s">
        <v>61</v>
      </c>
    </row>
    <row r="99" spans="2:12" x14ac:dyDescent="0.25">
      <c r="L99" s="50" t="s">
        <v>65</v>
      </c>
    </row>
    <row r="111" spans="2:12" x14ac:dyDescent="0.25">
      <c r="B111" s="48" t="s">
        <v>62</v>
      </c>
    </row>
    <row r="123" spans="2:2" x14ac:dyDescent="0.25">
      <c r="B123" s="47" t="s">
        <v>63</v>
      </c>
    </row>
    <row r="136" spans="2:2" x14ac:dyDescent="0.25">
      <c r="B136" t="s">
        <v>64</v>
      </c>
    </row>
    <row r="150" spans="2:2" x14ac:dyDescent="0.25">
      <c r="B150" t="s">
        <v>67</v>
      </c>
    </row>
    <row r="156" spans="2:2" x14ac:dyDescent="0.25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activeCell="J4" sqref="J4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9</v>
      </c>
      <c r="B1" s="42">
        <v>42827</v>
      </c>
      <c r="C1" s="34"/>
      <c r="D1" s="33" t="s">
        <v>16</v>
      </c>
      <c r="E1" s="43" t="s">
        <v>52</v>
      </c>
    </row>
    <row r="2" spans="1:10" x14ac:dyDescent="0.25">
      <c r="A2" s="5" t="s">
        <v>10</v>
      </c>
      <c r="B2" s="43">
        <v>20</v>
      </c>
      <c r="D2" s="33" t="s">
        <v>17</v>
      </c>
      <c r="E2" s="44">
        <v>3</v>
      </c>
    </row>
    <row r="3" spans="1:10" x14ac:dyDescent="0.25">
      <c r="A3" s="5" t="s">
        <v>18</v>
      </c>
      <c r="B3" s="43">
        <v>5</v>
      </c>
      <c r="D3" s="5" t="s">
        <v>51</v>
      </c>
      <c r="E3" s="4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 x14ac:dyDescent="0.25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 xml:space="preserve">Anette Røed </v>
      </c>
      <c r="I6" s="1" t="str">
        <f>IFERROR(RIGHT(J6,LEN(J6) - FIND(" og ",J6,1) - 3),"")</f>
        <v>Anne Maren Eilerås</v>
      </c>
      <c r="J6" s="53" t="s">
        <v>180</v>
      </c>
    </row>
    <row r="7" spans="1:10" x14ac:dyDescent="0.25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180</v>
      </c>
    </row>
    <row r="8" spans="1:10" x14ac:dyDescent="0.25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180</v>
      </c>
    </row>
    <row r="9" spans="1:10" x14ac:dyDescent="0.25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180</v>
      </c>
    </row>
    <row r="10" spans="1:10" x14ac:dyDescent="0.25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180</v>
      </c>
    </row>
    <row r="11" spans="1:10" x14ac:dyDescent="0.25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181</v>
      </c>
    </row>
    <row r="12" spans="1:10" x14ac:dyDescent="0.25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182</v>
      </c>
    </row>
    <row r="13" spans="1:10" x14ac:dyDescent="0.25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180</v>
      </c>
    </row>
    <row r="14" spans="1:10" x14ac:dyDescent="0.25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180</v>
      </c>
    </row>
    <row r="15" spans="1:10" x14ac:dyDescent="0.25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180</v>
      </c>
    </row>
    <row r="16" spans="1:10" x14ac:dyDescent="0.25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180</v>
      </c>
    </row>
    <row r="17" spans="1:10" x14ac:dyDescent="0.25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183</v>
      </c>
    </row>
    <row r="18" spans="1:10" x14ac:dyDescent="0.25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183</v>
      </c>
    </row>
    <row r="19" spans="1:10" x14ac:dyDescent="0.25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184</v>
      </c>
    </row>
    <row r="20" spans="1:10" x14ac:dyDescent="0.25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184</v>
      </c>
    </row>
    <row r="21" spans="1:10" x14ac:dyDescent="0.25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183</v>
      </c>
    </row>
    <row r="22" spans="1:10" x14ac:dyDescent="0.25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183</v>
      </c>
    </row>
    <row r="23" spans="1:10" x14ac:dyDescent="0.25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183</v>
      </c>
    </row>
    <row r="24" spans="1:10" x14ac:dyDescent="0.25">
      <c r="A24" s="51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185</v>
      </c>
    </row>
    <row r="25" spans="1:10" x14ac:dyDescent="0.25">
      <c r="A25" s="51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185</v>
      </c>
    </row>
    <row r="26" spans="1:10" x14ac:dyDescent="0.25">
      <c r="A26" s="51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183</v>
      </c>
    </row>
    <row r="27" spans="1:10" x14ac:dyDescent="0.25">
      <c r="A27" s="51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183</v>
      </c>
    </row>
    <row r="28" spans="1:10" x14ac:dyDescent="0.25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183</v>
      </c>
    </row>
    <row r="29" spans="1:10" x14ac:dyDescent="0.25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 xml:space="preserve">Celine Kjær Molvig </v>
      </c>
      <c r="I29" s="1" t="str">
        <f t="shared" si="2"/>
        <v>Vinos Ismail</v>
      </c>
      <c r="J29" s="54" t="s">
        <v>184</v>
      </c>
    </row>
    <row r="30" spans="1:10" x14ac:dyDescent="0.25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184</v>
      </c>
    </row>
    <row r="31" spans="1:10" x14ac:dyDescent="0.25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184</v>
      </c>
    </row>
    <row r="32" spans="1:10" x14ac:dyDescent="0.25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186</v>
      </c>
    </row>
    <row r="33" spans="1:10" x14ac:dyDescent="0.25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186</v>
      </c>
    </row>
    <row r="34" spans="1:10" x14ac:dyDescent="0.25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185</v>
      </c>
    </row>
    <row r="35" spans="1:10" x14ac:dyDescent="0.25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185</v>
      </c>
    </row>
    <row r="36" spans="1:10" x14ac:dyDescent="0.25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186</v>
      </c>
    </row>
    <row r="37" spans="1:10" x14ac:dyDescent="0.25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186</v>
      </c>
    </row>
    <row r="38" spans="1:10" x14ac:dyDescent="0.25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187</v>
      </c>
    </row>
    <row r="39" spans="1:10" x14ac:dyDescent="0.25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188</v>
      </c>
    </row>
    <row r="40" spans="1:10" x14ac:dyDescent="0.25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186</v>
      </c>
    </row>
    <row r="41" spans="1:10" x14ac:dyDescent="0.25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186</v>
      </c>
    </row>
    <row r="42" spans="1:10" x14ac:dyDescent="0.25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185</v>
      </c>
    </row>
    <row r="43" spans="1:10" x14ac:dyDescent="0.25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185</v>
      </c>
    </row>
    <row r="44" spans="1:10" x14ac:dyDescent="0.25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186</v>
      </c>
    </row>
    <row r="45" spans="1:10" x14ac:dyDescent="0.25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186</v>
      </c>
    </row>
    <row r="46" spans="1:10" x14ac:dyDescent="0.25">
      <c r="A46" s="51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184</v>
      </c>
    </row>
    <row r="47" spans="1:10" x14ac:dyDescent="0.25">
      <c r="A47" s="51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184</v>
      </c>
    </row>
    <row r="48" spans="1:10" x14ac:dyDescent="0.25">
      <c r="A48" s="51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186</v>
      </c>
    </row>
    <row r="49" spans="1:10" x14ac:dyDescent="0.25">
      <c r="A49" s="51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186</v>
      </c>
    </row>
    <row r="50" spans="1:10" x14ac:dyDescent="0.25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186</v>
      </c>
    </row>
    <row r="51" spans="1:10" x14ac:dyDescent="0.25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185</v>
      </c>
    </row>
    <row r="52" spans="1:10" x14ac:dyDescent="0.25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185</v>
      </c>
    </row>
    <row r="53" spans="1:10" x14ac:dyDescent="0.25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185</v>
      </c>
    </row>
    <row r="54" spans="1:10" x14ac:dyDescent="0.25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189</v>
      </c>
    </row>
    <row r="55" spans="1:10" x14ac:dyDescent="0.25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189</v>
      </c>
    </row>
    <row r="56" spans="1:10" x14ac:dyDescent="0.25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190</v>
      </c>
    </row>
    <row r="57" spans="1:10" x14ac:dyDescent="0.25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190</v>
      </c>
    </row>
    <row r="58" spans="1:10" x14ac:dyDescent="0.25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191</v>
      </c>
    </row>
    <row r="59" spans="1:10" ht="15.75" thickBot="1" x14ac:dyDescent="0.3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191</v>
      </c>
    </row>
    <row r="60" spans="1:10" x14ac:dyDescent="0.25">
      <c r="A60" s="52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185</v>
      </c>
    </row>
    <row r="61" spans="1:10" x14ac:dyDescent="0.25">
      <c r="A61" s="52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185</v>
      </c>
    </row>
    <row r="62" spans="1:10" x14ac:dyDescent="0.25">
      <c r="A62" s="52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189</v>
      </c>
    </row>
    <row r="63" spans="1:10" x14ac:dyDescent="0.25">
      <c r="A63" s="52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189</v>
      </c>
    </row>
    <row r="64" spans="1:10" x14ac:dyDescent="0.25">
      <c r="A64" s="52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190</v>
      </c>
    </row>
    <row r="65" spans="1:10" x14ac:dyDescent="0.25">
      <c r="A65" s="52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190</v>
      </c>
    </row>
    <row r="66" spans="1:10" x14ac:dyDescent="0.25">
      <c r="A66" s="52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191</v>
      </c>
    </row>
    <row r="67" spans="1:10" x14ac:dyDescent="0.25">
      <c r="A67" s="52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191</v>
      </c>
    </row>
    <row r="68" spans="1:10" x14ac:dyDescent="0.25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189</v>
      </c>
    </row>
    <row r="69" spans="1:10" x14ac:dyDescent="0.25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189</v>
      </c>
    </row>
    <row r="70" spans="1:10" x14ac:dyDescent="0.25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190</v>
      </c>
    </row>
    <row r="71" spans="1:10" x14ac:dyDescent="0.25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 t="shared" ref="G71:G72" si="3">MID(B71,FIND(" ",B71,1),4)</f>
        <v xml:space="preserve"> G9 </v>
      </c>
      <c r="H71" s="1" t="str">
        <f t="shared" ref="H71:H72" si="4">IFERROR(LEFT(J71,FIND(" og ",J71,1)),J71)</f>
        <v xml:space="preserve">Selma Henriksen </v>
      </c>
      <c r="I71" s="1" t="str">
        <f t="shared" ref="I71:I72" si="5">IFERROR(RIGHT(J71,LEN(J71) - FIND(" og ",J71,1) - 3),"")</f>
        <v>Henriette O Foyn</v>
      </c>
      <c r="J71" s="55" t="s">
        <v>190</v>
      </c>
    </row>
    <row r="72" spans="1:10" x14ac:dyDescent="0.25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 t="shared" si="3"/>
        <v xml:space="preserve"> G9 </v>
      </c>
      <c r="H72" s="1" t="str">
        <f t="shared" si="4"/>
        <v xml:space="preserve">Lotte Bettum </v>
      </c>
      <c r="I72" s="1" t="str">
        <f t="shared" si="5"/>
        <v>Selma Henriksen</v>
      </c>
      <c r="J72" s="55" t="s">
        <v>191</v>
      </c>
    </row>
    <row r="73" spans="1:10" x14ac:dyDescent="0.25">
      <c r="A73" s="40"/>
      <c r="G73"/>
      <c r="J73" s="55"/>
    </row>
    <row r="74" spans="1:10" x14ac:dyDescent="0.25">
      <c r="A74" s="41"/>
      <c r="J74" s="49"/>
    </row>
    <row r="75" spans="1:10" x14ac:dyDescent="0.25">
      <c r="A75" s="41"/>
      <c r="J75" s="49"/>
    </row>
    <row r="76" spans="1:10" x14ac:dyDescent="0.25">
      <c r="A76" s="41"/>
      <c r="J76" s="49"/>
    </row>
    <row r="77" spans="1:10" x14ac:dyDescent="0.25">
      <c r="A77" s="41"/>
      <c r="J77" s="49"/>
    </row>
    <row r="78" spans="1:10" x14ac:dyDescent="0.25">
      <c r="A78" s="41"/>
    </row>
    <row r="79" spans="1:10" x14ac:dyDescent="0.25">
      <c r="A79" s="41"/>
    </row>
    <row r="80" spans="1:10" x14ac:dyDescent="0.25">
      <c r="A80" s="41"/>
    </row>
    <row r="81" spans="1:1" x14ac:dyDescent="0.25">
      <c r="A81" s="41"/>
    </row>
    <row r="82" spans="1:1" x14ac:dyDescent="0.25">
      <c r="A82" s="41"/>
    </row>
    <row r="83" spans="1:1" x14ac:dyDescent="0.25">
      <c r="A83" s="41"/>
    </row>
    <row r="84" spans="1:1" x14ac:dyDescent="0.25">
      <c r="A84" s="41"/>
    </row>
    <row r="85" spans="1:1" x14ac:dyDescent="0.25">
      <c r="A85" s="41"/>
    </row>
    <row r="86" spans="1:1" x14ac:dyDescent="0.25">
      <c r="A86" s="41"/>
    </row>
    <row r="87" spans="1:1" x14ac:dyDescent="0.25">
      <c r="A87" s="41"/>
    </row>
    <row r="88" spans="1:1" x14ac:dyDescent="0.25">
      <c r="A88" s="41"/>
    </row>
    <row r="89" spans="1:1" x14ac:dyDescent="0.25">
      <c r="A89" s="41"/>
    </row>
    <row r="90" spans="1:1" x14ac:dyDescent="0.25">
      <c r="A90" s="41"/>
    </row>
    <row r="91" spans="1:1" x14ac:dyDescent="0.25">
      <c r="A91" s="41"/>
    </row>
    <row r="92" spans="1:1" x14ac:dyDescent="0.25">
      <c r="A92" s="41"/>
    </row>
    <row r="93" spans="1:1" x14ac:dyDescent="0.25">
      <c r="A93" s="41"/>
    </row>
    <row r="94" spans="1:1" x14ac:dyDescent="0.25">
      <c r="A94" s="41"/>
    </row>
    <row r="95" spans="1:1" x14ac:dyDescent="0.25">
      <c r="A95" s="41"/>
    </row>
    <row r="96" spans="1:1" x14ac:dyDescent="0.25">
      <c r="A96" s="41"/>
    </row>
    <row r="97" spans="1:1" x14ac:dyDescent="0.25">
      <c r="A97" s="41"/>
    </row>
    <row r="98" spans="1:1" x14ac:dyDescent="0.25">
      <c r="A98" s="41"/>
    </row>
    <row r="99" spans="1:1" x14ac:dyDescent="0.25">
      <c r="A99" s="41"/>
    </row>
    <row r="100" spans="1:1" x14ac:dyDescent="0.25">
      <c r="A100" s="41"/>
    </row>
  </sheetData>
  <sortState ref="A7:F72">
    <sortCondition ref="D6:D72"/>
    <sortCondition ref="A6:A72"/>
  </sortState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39" t="s">
        <v>49</v>
      </c>
    </row>
    <row r="2" spans="1:5" x14ac:dyDescent="0.25">
      <c r="A2" s="38"/>
    </row>
    <row r="3" spans="1:5" x14ac:dyDescent="0.2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 x14ac:dyDescent="0.25">
      <c r="A4" t="s">
        <v>27</v>
      </c>
      <c r="C4" t="s">
        <v>28</v>
      </c>
      <c r="D4">
        <v>41258495</v>
      </c>
    </row>
    <row r="5" spans="1:5" x14ac:dyDescent="0.25">
      <c r="A5" t="s">
        <v>29</v>
      </c>
      <c r="C5" t="s">
        <v>28</v>
      </c>
      <c r="D5">
        <v>90623781</v>
      </c>
    </row>
    <row r="6" spans="1:5" x14ac:dyDescent="0.25">
      <c r="A6" t="s">
        <v>30</v>
      </c>
      <c r="C6" t="s">
        <v>28</v>
      </c>
      <c r="D6">
        <v>46630323</v>
      </c>
    </row>
    <row r="7" spans="1:5" x14ac:dyDescent="0.25">
      <c r="A7" t="s">
        <v>31</v>
      </c>
      <c r="C7" t="s">
        <v>28</v>
      </c>
      <c r="D7">
        <v>94809667</v>
      </c>
    </row>
    <row r="8" spans="1:5" x14ac:dyDescent="0.25">
      <c r="A8" t="s">
        <v>32</v>
      </c>
      <c r="C8" t="s">
        <v>28</v>
      </c>
    </row>
    <row r="9" spans="1:5" x14ac:dyDescent="0.25">
      <c r="A9" t="s">
        <v>33</v>
      </c>
      <c r="C9" t="s">
        <v>28</v>
      </c>
    </row>
    <row r="10" spans="1:5" x14ac:dyDescent="0.25">
      <c r="A10" t="s">
        <v>34</v>
      </c>
      <c r="C10" t="s">
        <v>28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  <c r="C13" t="s">
        <v>28</v>
      </c>
      <c r="D13">
        <v>98607027</v>
      </c>
    </row>
    <row r="14" spans="1:5" x14ac:dyDescent="0.25">
      <c r="A14" t="s">
        <v>38</v>
      </c>
      <c r="B14" t="s">
        <v>28</v>
      </c>
      <c r="D14">
        <v>48606701</v>
      </c>
    </row>
    <row r="15" spans="1:5" x14ac:dyDescent="0.25">
      <c r="A15" t="s">
        <v>39</v>
      </c>
      <c r="B15" t="s">
        <v>28</v>
      </c>
    </row>
    <row r="16" spans="1:5" x14ac:dyDescent="0.25">
      <c r="A16" t="s">
        <v>40</v>
      </c>
      <c r="B16" t="s">
        <v>28</v>
      </c>
      <c r="D16">
        <v>95551449</v>
      </c>
    </row>
    <row r="17" spans="1:4" x14ac:dyDescent="0.25">
      <c r="A17" t="s">
        <v>41</v>
      </c>
      <c r="B17" t="s">
        <v>28</v>
      </c>
      <c r="D17">
        <v>97915101</v>
      </c>
    </row>
    <row r="18" spans="1:4" x14ac:dyDescent="0.25">
      <c r="A18" t="s">
        <v>42</v>
      </c>
      <c r="B18" t="s">
        <v>28</v>
      </c>
      <c r="D18">
        <v>46949380</v>
      </c>
    </row>
    <row r="19" spans="1:4" x14ac:dyDescent="0.25">
      <c r="A19" t="s">
        <v>43</v>
      </c>
      <c r="B19" t="s">
        <v>28</v>
      </c>
      <c r="D19">
        <v>41268495</v>
      </c>
    </row>
    <row r="20" spans="1:4" x14ac:dyDescent="0.25">
      <c r="A20" t="s">
        <v>44</v>
      </c>
      <c r="B20" t="s">
        <v>28</v>
      </c>
    </row>
    <row r="23" spans="1:4" x14ac:dyDescent="0.25">
      <c r="A23" t="s">
        <v>45</v>
      </c>
    </row>
    <row r="24" spans="1:4" x14ac:dyDescent="0.25">
      <c r="A24" t="s">
        <v>46</v>
      </c>
      <c r="D24">
        <v>47366543</v>
      </c>
    </row>
    <row r="26" spans="1:4" x14ac:dyDescent="0.25">
      <c r="A26" t="s">
        <v>47</v>
      </c>
      <c r="D26">
        <v>90362962</v>
      </c>
    </row>
    <row r="27" spans="1:4" x14ac:dyDescent="0.25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Hjelp</vt:lpstr>
      <vt:lpstr>Grunndata</vt:lpstr>
      <vt:lpstr>Kamprapport mal</vt:lpstr>
      <vt:lpstr>Dommere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2017-04-12T16:22:51Z</dcterms:modified>
</cp:coreProperties>
</file>