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76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eri\Documents\2_Flint\PrepTurnering\"/>
    </mc:Choice>
  </mc:AlternateContent>
  <bookViews>
    <workbookView xWindow="0" yWindow="0" windowWidth="28800" windowHeight="12585" tabRatio="908" activeTab="1"/>
  </bookViews>
  <sheets>
    <sheet name="Hjelp" sheetId="200" r:id="rId1"/>
    <sheet name="Grunndata" sheetId="1" r:id="rId2"/>
    <sheet name="Kamprapport mal" sheetId="43" r:id="rId3"/>
    <sheet name="Dommere" sheetId="199" r:id="rId4"/>
    <sheet name="Slagenhallen 1" sheetId="386" r:id="rId5"/>
    <sheet name="Slagenhallen 2" sheetId="387" r:id="rId6"/>
    <sheet name="Slagenhallen 3" sheetId="388" r:id="rId7"/>
    <sheet name="Kamprapport bane 1  G10 ( s1 )" sheetId="390" r:id="rId8"/>
    <sheet name="Kamprapport bane 1  G9  ( s1 )" sheetId="392" r:id="rId9"/>
    <sheet name="Kamprapport bane 2  G10 ( s1 )" sheetId="394" r:id="rId10"/>
    <sheet name="Kamprapport bane 2  G9  ( s1 )" sheetId="396" r:id="rId11"/>
    <sheet name="Kamprapport bane 3  G9  ( s1 )" sheetId="399" r:id="rId12"/>
    <sheet name="Kamprapport bane 3  G9  ( s2 )" sheetId="400" r:id="rId13"/>
    <sheet name="Lag  G10" sheetId="402" r:id="rId14"/>
    <sheet name="Lag  G9 " sheetId="404" r:id="rId15"/>
  </sheets>
  <functionGroups builtInGroupCount="18"/>
  <definedNames>
    <definedName name="_xlnm._FilterDatabase" localSheetId="1" hidden="1">Grunndata!$E$5:$I$72</definedName>
    <definedName name="_xlnm.Print_Area" localSheetId="7">'Kamprapport bane 1  G10 ( s1 )'!$A$1:$I$24</definedName>
    <definedName name="_xlnm.Print_Area" localSheetId="8">'Kamprapport bane 1  G9  ( s1 )'!$A$1:$I$24</definedName>
    <definedName name="_xlnm.Print_Area" localSheetId="9">'Kamprapport bane 2  G10 ( s1 )'!$A$1:$I$24</definedName>
    <definedName name="_xlnm.Print_Area" localSheetId="10">'Kamprapport bane 2  G9  ( s1 )'!$A$1:$I$24</definedName>
    <definedName name="_xlnm.Print_Area" localSheetId="11">'Kamprapport bane 3  G9  ( s1 )'!$A$1:$I$24</definedName>
    <definedName name="_xlnm.Print_Area" localSheetId="12">'Kamprapport bane 3  G9  ( s2 )'!$A$1:$I$24</definedName>
    <definedName name="_xlnm.Print_Area" localSheetId="2">'Kamprapport mal'!$A$1:$I$24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" i="1" l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6" i="1"/>
</calcChain>
</file>

<file path=xl/sharedStrings.xml><?xml version="1.0" encoding="utf-8"?>
<sst xmlns="http://schemas.openxmlformats.org/spreadsheetml/2006/main" count="1456" uniqueCount="266">
  <si>
    <t>Tid</t>
  </si>
  <si>
    <t>Turnering</t>
  </si>
  <si>
    <t>Kampnr</t>
  </si>
  <si>
    <t>Bane</t>
  </si>
  <si>
    <t>Hjemmelag</t>
  </si>
  <si>
    <t>Bortelag</t>
  </si>
  <si>
    <t>Dommer 1</t>
  </si>
  <si>
    <t>Dommer 2</t>
  </si>
  <si>
    <t>Klasse</t>
  </si>
  <si>
    <t>Dato</t>
  </si>
  <si>
    <t>Kamplengde (min)</t>
  </si>
  <si>
    <t>KAMPRAPPORT - BARNEHÅNDBALLTURNERINGER</t>
  </si>
  <si>
    <t>Mål H.lag</t>
  </si>
  <si>
    <t>Mål B.lag</t>
  </si>
  <si>
    <t>Sekretariat</t>
  </si>
  <si>
    <t>I målfeltene skal det kun stå sluttresultat</t>
  </si>
  <si>
    <t xml:space="preserve">Hall:   </t>
  </si>
  <si>
    <t xml:space="preserve">Antall baner:   </t>
  </si>
  <si>
    <t>Pause mellom kamper</t>
  </si>
  <si>
    <t>Dato: ______________</t>
  </si>
  <si>
    <t>Hall: ______________________________</t>
  </si>
  <si>
    <t>Bane: _____</t>
  </si>
  <si>
    <t>Klasse: __________</t>
  </si>
  <si>
    <t>Navn</t>
  </si>
  <si>
    <t>Barnedommer</t>
  </si>
  <si>
    <t>Tlf nr</t>
  </si>
  <si>
    <t>E-post</t>
  </si>
  <si>
    <t>Helle Kierulf</t>
  </si>
  <si>
    <t>X</t>
  </si>
  <si>
    <t>Lene Brosvik</t>
  </si>
  <si>
    <t>Hanna Finnskog Nordby</t>
  </si>
  <si>
    <t>Maya Wale Solberg</t>
  </si>
  <si>
    <t>Anna Zabielska</t>
  </si>
  <si>
    <t>Renata Zabielska</t>
  </si>
  <si>
    <t>Darius Zabielska</t>
  </si>
  <si>
    <t>Trine Witzøe</t>
  </si>
  <si>
    <t>Gunn Jenny Wangsmo</t>
  </si>
  <si>
    <t>Margareth Stiansen</t>
  </si>
  <si>
    <t>Celine Kjær Molvig</t>
  </si>
  <si>
    <t>Andrea Varvin</t>
  </si>
  <si>
    <t>Janne Reinertsen</t>
  </si>
  <si>
    <t>Henriette Olafsen Foyn</t>
  </si>
  <si>
    <t>Selma Henriksen</t>
  </si>
  <si>
    <t>Lotte Bettum</t>
  </si>
  <si>
    <t>Vinos Ismail</t>
  </si>
  <si>
    <t>Anne Maren Eilerås</t>
  </si>
  <si>
    <t>Anette Røed</t>
  </si>
  <si>
    <t>Martin</t>
  </si>
  <si>
    <t>Elias (Tjøme)</t>
  </si>
  <si>
    <t>Oversikt over dommere i Flint</t>
  </si>
  <si>
    <t>Dommerpar</t>
  </si>
  <si>
    <t>Betaling dommere:</t>
  </si>
  <si>
    <t>Slagenhallen</t>
  </si>
  <si>
    <t>Begynn med å justere dato, hall etc</t>
  </si>
  <si>
    <r>
      <t>Arket "</t>
    </r>
    <r>
      <rPr>
        <b/>
        <sz val="11"/>
        <color theme="1"/>
        <rFont val="Calibri"/>
        <family val="2"/>
        <scheme val="minor"/>
      </rPr>
      <t>Grunndata</t>
    </r>
    <r>
      <rPr>
        <sz val="11"/>
        <color theme="1"/>
        <rFont val="Calibri"/>
        <family val="2"/>
        <scheme val="minor"/>
      </rPr>
      <t>" er utgangspunktet for alle beregninger.</t>
    </r>
  </si>
  <si>
    <t>Dette er tenkt som et hjelpeverktøy for planlegging av dugnadsvakten i hovedsekretariatet ved en MiniCup</t>
  </si>
  <si>
    <t>Gå til</t>
  </si>
  <si>
    <t>https://www.handball.no/system/banedagbok/</t>
  </si>
  <si>
    <r>
      <t>Velg Fylke, Anlegg og periode. Klick deretter på "</t>
    </r>
    <r>
      <rPr>
        <b/>
        <sz val="11"/>
        <color theme="1"/>
        <rFont val="Calibri"/>
        <family val="2"/>
        <scheme val="minor"/>
      </rPr>
      <t>Vis kamper</t>
    </r>
    <r>
      <rPr>
        <sz val="11"/>
        <color theme="1"/>
        <rFont val="Calibri"/>
        <family val="2"/>
        <scheme val="minor"/>
      </rPr>
      <t>"</t>
    </r>
  </si>
  <si>
    <t>Marker og kopier alle kampene (ikke ta med overskrifter og dato).</t>
  </si>
  <si>
    <t>Eller</t>
  </si>
  <si>
    <t>Oppdater Klasse</t>
  </si>
  <si>
    <t>Legg inn dommere under "Dommerpar"</t>
  </si>
  <si>
    <r>
      <t>Klikk på "</t>
    </r>
    <r>
      <rPr>
        <b/>
        <sz val="11"/>
        <color theme="1"/>
        <rFont val="Calibri"/>
        <family val="2"/>
        <scheme val="minor"/>
      </rPr>
      <t>Splitt dommerpar</t>
    </r>
    <r>
      <rPr>
        <sz val="11"/>
        <color theme="1"/>
        <rFont val="Calibri"/>
        <family val="2"/>
        <scheme val="minor"/>
      </rPr>
      <t>"</t>
    </r>
  </si>
  <si>
    <r>
      <t>Klikk på "</t>
    </r>
    <r>
      <rPr>
        <b/>
        <sz val="11"/>
        <color theme="1"/>
        <rFont val="Calibri"/>
        <family val="2"/>
        <scheme val="minor"/>
      </rPr>
      <t>Generer banedagbøker og kamprapporter</t>
    </r>
    <r>
      <rPr>
        <sz val="11"/>
        <color theme="1"/>
        <rFont val="Calibri"/>
        <family val="2"/>
        <scheme val="minor"/>
      </rPr>
      <t>"</t>
    </r>
  </si>
  <si>
    <t>==&gt;</t>
  </si>
  <si>
    <t>Klikker en på "Slett banedagbøker og kamprapporter" slettes fanene automatisk</t>
  </si>
  <si>
    <t>Det genereres da faner med nødvendige kamprapporter, banedagbøker og en lagoversikt pr klasse som kan være nyttig å skrive ut.</t>
  </si>
  <si>
    <t>April G10 1 - Slagenhallen</t>
  </si>
  <si>
    <t>Slagenhallen 1</t>
  </si>
  <si>
    <t>HG Gokstad</t>
  </si>
  <si>
    <t>Reistad</t>
  </si>
  <si>
    <t>April G10 2 - Slagenhallen</t>
  </si>
  <si>
    <t>Slagenhallen 2</t>
  </si>
  <si>
    <t>HK-72 Sande 2</t>
  </si>
  <si>
    <t>Skrim 2</t>
  </si>
  <si>
    <t>April G9 1 - Slagenhallen</t>
  </si>
  <si>
    <t>Slagenhallen 3</t>
  </si>
  <si>
    <t>Sandefjord TIF</t>
  </si>
  <si>
    <t>Hof</t>
  </si>
  <si>
    <t>Halsen</t>
  </si>
  <si>
    <t>Skrim</t>
  </si>
  <si>
    <t>Bamble</t>
  </si>
  <si>
    <t>Reistad 2</t>
  </si>
  <si>
    <t>Glassverket</t>
  </si>
  <si>
    <t>Skade</t>
  </si>
  <si>
    <t>Flint Tønsberg</t>
  </si>
  <si>
    <t>HK-72 Sande</t>
  </si>
  <si>
    <t>Notodden 2</t>
  </si>
  <si>
    <t>HG Gokstad 2</t>
  </si>
  <si>
    <t>Sandefjord TIF 2</t>
  </si>
  <si>
    <t>Hof 2</t>
  </si>
  <si>
    <t>Notodden</t>
  </si>
  <si>
    <t>Flint Tønsberg 2</t>
  </si>
  <si>
    <t>Glassverket 2</t>
  </si>
  <si>
    <t>Ulefoss</t>
  </si>
  <si>
    <t>April G9 3 - Slagenhallen</t>
  </si>
  <si>
    <t>Runar 2</t>
  </si>
  <si>
    <t>April G9 2 - Slagenhallen</t>
  </si>
  <si>
    <t>Sætre/Graabein 2</t>
  </si>
  <si>
    <t>Urædd</t>
  </si>
  <si>
    <t>Runar</t>
  </si>
  <si>
    <t>April G9 4 - Slagenhallen</t>
  </si>
  <si>
    <t>Falk</t>
  </si>
  <si>
    <t>Lier 2</t>
  </si>
  <si>
    <t>Lier</t>
  </si>
  <si>
    <t>Halsen 2</t>
  </si>
  <si>
    <t>Sætre/Graabein 3</t>
  </si>
  <si>
    <t>Sætre/Graabein</t>
  </si>
  <si>
    <t>Tønsbergs Turn</t>
  </si>
  <si>
    <t>Runar 3</t>
  </si>
  <si>
    <t>Tjølling</t>
  </si>
  <si>
    <t>Slagen</t>
  </si>
  <si>
    <t>23231081001</t>
  </si>
  <si>
    <t>23231082001</t>
  </si>
  <si>
    <t>23230981001</t>
  </si>
  <si>
    <t>23231081002</t>
  </si>
  <si>
    <t>23231082002</t>
  </si>
  <si>
    <t>23230981002</t>
  </si>
  <si>
    <t>23231081003</t>
  </si>
  <si>
    <t>23231082003</t>
  </si>
  <si>
    <t>23230981003</t>
  </si>
  <si>
    <t>23231081004</t>
  </si>
  <si>
    <t>23231082004</t>
  </si>
  <si>
    <t>23230981004</t>
  </si>
  <si>
    <t>23231081005</t>
  </si>
  <si>
    <t>23231082005</t>
  </si>
  <si>
    <t>23230981005</t>
  </si>
  <si>
    <t>23231081006</t>
  </si>
  <si>
    <t>23231082006</t>
  </si>
  <si>
    <t>23230981006</t>
  </si>
  <si>
    <t>23231081007</t>
  </si>
  <si>
    <t>23231082007</t>
  </si>
  <si>
    <t>23230981007</t>
  </si>
  <si>
    <t>23231081008</t>
  </si>
  <si>
    <t>23231082008</t>
  </si>
  <si>
    <t>23230981008</t>
  </si>
  <si>
    <t>23231081009</t>
  </si>
  <si>
    <t>23231082009</t>
  </si>
  <si>
    <t>23230981009</t>
  </si>
  <si>
    <t>23231081010</t>
  </si>
  <si>
    <t>23231082010</t>
  </si>
  <si>
    <t>23230981010</t>
  </si>
  <si>
    <t>23231081011</t>
  </si>
  <si>
    <t>23231082011</t>
  </si>
  <si>
    <t>23230981011</t>
  </si>
  <si>
    <t>23230981012</t>
  </si>
  <si>
    <t>23230983001</t>
  </si>
  <si>
    <t>23230982001</t>
  </si>
  <si>
    <t>23230983002</t>
  </si>
  <si>
    <t>23230984001</t>
  </si>
  <si>
    <t>23230982002</t>
  </si>
  <si>
    <t>23230983003</t>
  </si>
  <si>
    <t>23230984002</t>
  </si>
  <si>
    <t>23230982003</t>
  </si>
  <si>
    <t>23230983004</t>
  </si>
  <si>
    <t>23230984003</t>
  </si>
  <si>
    <t>23230982004</t>
  </si>
  <si>
    <t>23230983005</t>
  </si>
  <si>
    <t>23230984004</t>
  </si>
  <si>
    <t>23230982005</t>
  </si>
  <si>
    <t>23230983006</t>
  </si>
  <si>
    <t>23230984005</t>
  </si>
  <si>
    <t>23230982006</t>
  </si>
  <si>
    <t>23230983007</t>
  </si>
  <si>
    <t>23230984006</t>
  </si>
  <si>
    <t>23230982007</t>
  </si>
  <si>
    <t>23230983008</t>
  </si>
  <si>
    <t>23230984007</t>
  </si>
  <si>
    <t>23230982008</t>
  </si>
  <si>
    <t>23230983009</t>
  </si>
  <si>
    <t>23230984008</t>
  </si>
  <si>
    <t>23230982009</t>
  </si>
  <si>
    <t>23230983010</t>
  </si>
  <si>
    <t>23230984009</t>
  </si>
  <si>
    <t>23230982010</t>
  </si>
  <si>
    <t>23230983011</t>
  </si>
  <si>
    <t>23230984010</t>
  </si>
  <si>
    <t>23230982011</t>
  </si>
  <si>
    <t>23230984011</t>
  </si>
  <si>
    <t>Anette Røed og Anne Maren Eilerås</t>
  </si>
  <si>
    <t>Maya W Solberg og Vinos Ismail</t>
  </si>
  <si>
    <t>Ingeborg Morberg og Vinos Ismail</t>
  </si>
  <si>
    <t>Helle Kierulf og Lene Brosvik</t>
  </si>
  <si>
    <t>Celine Kjær Molvig og Vinos Ismail</t>
  </si>
  <si>
    <t>Ulrik Kjærgaard og Hoanh Vinh</t>
  </si>
  <si>
    <t>Ingeborg Morberg og Maya W Solberg</t>
  </si>
  <si>
    <t>Lotte Bettum og Vinos Ismail</t>
  </si>
  <si>
    <t>Selma Henriksen og Vinos Ismail</t>
  </si>
  <si>
    <t>Henriette O Foyn og Lotte Bettum</t>
  </si>
  <si>
    <t>Selma Henriksen og Henriette O Foyn</t>
  </si>
  <si>
    <t>Lotte Bettum og Selma Henriksen</t>
  </si>
  <si>
    <t>Banedagbok</t>
  </si>
  <si>
    <t xml:space="preserve"> G10</t>
  </si>
  <si>
    <t xml:space="preserve">Anette Røed </t>
  </si>
  <si>
    <t xml:space="preserve">Maya W Solberg </t>
  </si>
  <si>
    <t xml:space="preserve">Ingeborg Morberg </t>
  </si>
  <si>
    <t xml:space="preserve"> G9 </t>
  </si>
  <si>
    <t xml:space="preserve">Helle Kierulf </t>
  </si>
  <si>
    <t xml:space="preserve">Celine Kjær Molvig </t>
  </si>
  <si>
    <t xml:space="preserve">Ulrik Kjærgaard </t>
  </si>
  <si>
    <t>Hoanh Vinh</t>
  </si>
  <si>
    <t>(08:55) 09:00 - 09:20</t>
  </si>
  <si>
    <t>(09:20) 09:25 - 09:45</t>
  </si>
  <si>
    <t>(09:45) 09:50 - 10:10</t>
  </si>
  <si>
    <t>(10:10) 10:15 - 10:35</t>
  </si>
  <si>
    <t>(10:35) 10:40 - 11:00</t>
  </si>
  <si>
    <t>(11:00) 11:05 - 11:25</t>
  </si>
  <si>
    <t>(11:25) 11:30 - 11:50</t>
  </si>
  <si>
    <t>(12:05) 12:10 - 12:30</t>
  </si>
  <si>
    <t>(12:30) 12:35 - 12:55</t>
  </si>
  <si>
    <t>(12:55) 13:00 - 13:20</t>
  </si>
  <si>
    <t>(13:20) 13:25 - 13:45</t>
  </si>
  <si>
    <t>(13:45) 13:50 - 14:10</t>
  </si>
  <si>
    <t>(14:10) 14:15 - 14:35</t>
  </si>
  <si>
    <t>(14:35) 14:40 - 15:00</t>
  </si>
  <si>
    <t>(15:00) 15:05 - 15:25</t>
  </si>
  <si>
    <t>(15:25) 15:30 - 15:50</t>
  </si>
  <si>
    <t>(15:50) 15:55 - 16:15</t>
  </si>
  <si>
    <t>(16:15) 16:20 - 16:40</t>
  </si>
  <si>
    <t>(16:40) 16:45 - 17:05</t>
  </si>
  <si>
    <t>(17:20) 17:25 - 17:45</t>
  </si>
  <si>
    <t>(17:45) 17:50 - 18:10</t>
  </si>
  <si>
    <t>(18:10) 18:15 - 18:35</t>
  </si>
  <si>
    <t>Maya W Solberg</t>
  </si>
  <si>
    <t xml:space="preserve">Lotte Bettum </t>
  </si>
  <si>
    <t xml:space="preserve">Selma Henriksen </t>
  </si>
  <si>
    <t xml:space="preserve">Henriette O Foyn </t>
  </si>
  <si>
    <t>Henriette O Foyn</t>
  </si>
  <si>
    <t>(18:35) 18:40 - 19:00</t>
  </si>
  <si>
    <t>09:00 - 09:20</t>
  </si>
  <si>
    <t>09:25 - 09:45</t>
  </si>
  <si>
    <t>09:50 - 10:10</t>
  </si>
  <si>
    <t>10:15 - 10:35</t>
  </si>
  <si>
    <t>10:40 - 11:00</t>
  </si>
  <si>
    <t>11:05 - 11:25</t>
  </si>
  <si>
    <t>11:30 - 11:50</t>
  </si>
  <si>
    <t>12:10 - 12:30</t>
  </si>
  <si>
    <t>12:35 - 12:55</t>
  </si>
  <si>
    <t>13:00 - 13:20</t>
  </si>
  <si>
    <t>13:25 - 13:45</t>
  </si>
  <si>
    <t>Dato:  02.04.2017</t>
  </si>
  <si>
    <t>Hall:  Slagenhallen</t>
  </si>
  <si>
    <t>Bane:  1</t>
  </si>
  <si>
    <t>Klasse:   G10</t>
  </si>
  <si>
    <t>13:50 - 14:10</t>
  </si>
  <si>
    <t>14:15 - 14:35</t>
  </si>
  <si>
    <t>14:40 - 15:00</t>
  </si>
  <si>
    <t>15:05 - 15:25</t>
  </si>
  <si>
    <t>15:30 - 15:50</t>
  </si>
  <si>
    <t>15:55 - 16:15</t>
  </si>
  <si>
    <t>16:20 - 16:40</t>
  </si>
  <si>
    <t>16:45 - 17:05</t>
  </si>
  <si>
    <t>17:25 - 17:45</t>
  </si>
  <si>
    <t>17:50 - 18:10</t>
  </si>
  <si>
    <t>18:15 - 18:35</t>
  </si>
  <si>
    <t xml:space="preserve">Klasse:   G9 </t>
  </si>
  <si>
    <t>Bane:  2</t>
  </si>
  <si>
    <t>18:40 - 19:00</t>
  </si>
  <si>
    <t>Bane:  3</t>
  </si>
  <si>
    <t>Klasse:  G10</t>
  </si>
  <si>
    <t xml:space="preserve">Lag: </t>
  </si>
  <si>
    <t xml:space="preserve">Antall kamper: </t>
  </si>
  <si>
    <t xml:space="preserve">Betale for antall dommere: </t>
  </si>
  <si>
    <t xml:space="preserve">Å betale: </t>
  </si>
  <si>
    <t xml:space="preserve">Klasse:  G9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</si>
</sst>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11"/>
      <color rgb="FF222222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</fills>
  <borders count="25">
    <border>
      <left/>
      <right/>
      <top/>
      <bottom/>
      <diagonal/>
    </border>
    <border>
      <left style="medium">
        <color rgb="FFDDDDDD"/>
      </left>
      <right/>
      <top/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3" fillId="0" borderId="0"/>
    <xf numFmtId="0" fontId="18" fillId="0" borderId="0" applyNumberFormat="0" applyFill="0" applyBorder="0" applyAlignment="0" applyProtection="0"/>
  </cellStyleXfs>
  <cellXfs count="63">
    <xf numFmtId="0" fontId="0" fillId="0" borderId="0" xfId="0"/>
    <xf numFmtId="0" fontId="0" fillId="0" borderId="0" xfId="0" applyAlignment="1"/>
    <xf numFmtId="0" fontId="1" fillId="2" borderId="3" xfId="0" applyFont="1" applyFill="1" applyBorder="1" applyAlignment="1">
      <alignment horizontal="left" vertical="center"/>
    </xf>
    <xf numFmtId="20" fontId="2" fillId="0" borderId="1" xfId="0" applyNumberFormat="1" applyFont="1" applyFill="1" applyBorder="1" applyAlignment="1">
      <alignment horizontal="left" vertical="center"/>
    </xf>
    <xf numFmtId="20" fontId="2" fillId="0" borderId="2" xfId="0" applyNumberFormat="1" applyFont="1" applyFill="1" applyBorder="1" applyAlignment="1">
      <alignment horizontal="left" vertical="center"/>
    </xf>
    <xf numFmtId="0" fontId="3" fillId="0" borderId="0" xfId="0" applyFont="1" applyAlignment="1"/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horizontal="left"/>
    </xf>
    <xf numFmtId="0" fontId="8" fillId="0" borderId="4" xfId="0" applyFont="1" applyBorder="1" applyAlignment="1">
      <alignment horizontal="center" wrapText="1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 wrapText="1"/>
    </xf>
    <xf numFmtId="0" fontId="10" fillId="0" borderId="10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 wrapText="1"/>
    </xf>
    <xf numFmtId="0" fontId="10" fillId="0" borderId="15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9" fillId="0" borderId="19" xfId="0" applyFont="1" applyBorder="1" applyAlignment="1">
      <alignment horizontal="center" wrapText="1"/>
    </xf>
    <xf numFmtId="0" fontId="10" fillId="0" borderId="20" xfId="0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0" fontId="8" fillId="0" borderId="0" xfId="0" applyFont="1" applyFill="1" applyAlignment="1"/>
    <xf numFmtId="0" fontId="3" fillId="0" borderId="0" xfId="0" applyFont="1" applyAlignment="1">
      <alignment horizontal="right"/>
    </xf>
    <xf numFmtId="49" fontId="4" fillId="0" borderId="0" xfId="0" applyNumberFormat="1" applyFont="1" applyAlignment="1"/>
    <xf numFmtId="49" fontId="0" fillId="0" borderId="0" xfId="0" applyNumberFormat="1" applyAlignment="1"/>
    <xf numFmtId="49" fontId="1" fillId="2" borderId="3" xfId="0" applyNumberFormat="1" applyFont="1" applyFill="1" applyBorder="1" applyAlignment="1">
      <alignment horizontal="left" vertical="center"/>
    </xf>
    <xf numFmtId="49" fontId="0" fillId="0" borderId="0" xfId="0" applyNumberFormat="1"/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20" fontId="15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14" fontId="4" fillId="3" borderId="0" xfId="0" applyNumberFormat="1" applyFont="1" applyFill="1" applyAlignment="1"/>
    <xf numFmtId="0" fontId="3" fillId="3" borderId="0" xfId="0" applyFont="1" applyFill="1" applyAlignment="1"/>
    <xf numFmtId="0" fontId="3" fillId="3" borderId="0" xfId="0" applyFont="1" applyFill="1" applyAlignment="1">
      <alignment horizontal="left"/>
    </xf>
    <xf numFmtId="0" fontId="17" fillId="0" borderId="0" xfId="0" applyFont="1"/>
    <xf numFmtId="0" fontId="18" fillId="0" borderId="0" xfId="2"/>
    <xf numFmtId="0" fontId="0" fillId="0" borderId="0" xfId="0" applyFont="1"/>
    <xf numFmtId="0" fontId="16" fillId="0" borderId="0" xfId="0" applyFont="1"/>
    <xf numFmtId="0" fontId="14" fillId="0" borderId="0" xfId="1" applyFont="1" applyAlignment="1" applyProtection="1">
      <alignment vertical="top" wrapText="1" readingOrder="1"/>
      <protection locked="0"/>
    </xf>
    <xf numFmtId="0" fontId="0" fillId="0" borderId="0" xfId="0" quotePrefix="1"/>
    <xf numFmtId="0" fontId="5" fillId="0" borderId="0" xfId="0" applyFont="1" applyAlignment="1">
      <alignment horizontal="center"/>
    </xf>
    <xf numFmtId="0" fontId="11" fillId="0" borderId="0" xfId="0" applyFont="1" applyFill="1" applyAlignment="1">
      <alignment horizontal="center"/>
    </xf>
    <xf numFmtId="20" fontId="15" fillId="0" borderId="1" xfId="0" applyNumberFormat="1" applyFont="1" applyBorder="1" applyAlignment="1">
      <alignment horizontal="left"/>
    </xf>
    <xf numFmtId="20" fontId="2" fillId="0" borderId="0" xfId="0" applyNumberFormat="1" applyFont="1" applyFill="1" applyBorder="1" applyAlignment="1">
      <alignment horizontal="left" vertical="center"/>
    </xf>
    <xf numFmtId="0" fontId="14" fillId="0" borderId="0" xfId="1" applyFont="1" applyAlignment="1" applyProtection="1">
      <alignment vertical="top" wrapText="1" readingOrder="1"/>
      <protection locked="0"/>
    </xf>
    <xf numFmtId="0" fontId="14" fillId="0" borderId="0" xfId="1" applyFont="1" applyAlignment="1" applyProtection="1">
      <alignment vertical="top" wrapText="1" readingOrder="1"/>
      <protection locked="0"/>
    </xf>
    <xf numFmtId="0" fontId="14" fillId="0" borderId="0" xfId="1" applyFont="1" applyAlignment="1" applyProtection="1">
      <alignment vertical="top" wrapText="1" readingOrder="1"/>
      <protection locked="0"/>
    </xf>
    <xf numFmtId="0" fontId="19" fillId="4" borderId="0" xfId="0" applyFont="1" applyFill="1" applyAlignment="1">
      <alignment horizontal="left"/>
    </xf>
    <xf numFmtId="0" fontId="6" fillId="5" borderId="0" xfId="0" applyFont="1" applyFill="1" applyAlignment="1">
      <alignment horizontal="left"/>
    </xf>
    <xf numFmtId="14" fontId="10" fillId="0" borderId="0" xfId="0" applyNumberFormat="1" applyFont="1" applyAlignment="1">
      <alignment horizontal="left"/>
    </xf>
    <xf numFmtId="0" fontId="1" fillId="2" borderId="24" xfId="0" applyFont="1" applyFill="1" applyBorder="1" applyAlignment="1">
      <alignment horizontal="left" vertical="center"/>
    </xf>
    <xf numFmtId="49" fontId="1" fillId="2" borderId="24" xfId="0" applyNumberFormat="1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2" xfId="1"/>
  </cellStyles>
  <dxfs count="36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222222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5" formatCode="hh:mm"/>
      <alignment horizontal="left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222222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5" formatCode="hh:mm"/>
      <alignment horizontal="left" vertical="bottom" textRotation="0" wrapText="0" indent="0" justifyLastLine="0" shrinkToFit="0" readingOrder="0"/>
      <border diagonalUp="0" diagonalDown="0">
        <left style="medium">
          <color rgb="FFDDDDDD"/>
        </left>
        <right/>
        <top/>
        <bottom/>
        <vertical/>
        <horizontal/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222222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5" formatCode="hh:mm"/>
      <alignment horizontal="left" vertical="bottom" textRotation="0" wrapText="0" indent="0" justifyLastLine="0" shrinkToFit="0" readingOrder="0"/>
      <border diagonalUp="0" diagonalDown="0">
        <left style="medium">
          <color rgb="FFDDDDDD"/>
        </left>
        <right/>
        <top/>
        <bottom/>
        <vertical/>
        <horizontal/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8</xdr:row>
      <xdr:rowOff>0</xdr:rowOff>
    </xdr:from>
    <xdr:to>
      <xdr:col>13</xdr:col>
      <xdr:colOff>351467</xdr:colOff>
      <xdr:row>12</xdr:row>
      <xdr:rowOff>57048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600200"/>
          <a:ext cx="7666667" cy="81904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14</xdr:col>
      <xdr:colOff>103771</xdr:colOff>
      <xdr:row>47</xdr:row>
      <xdr:rowOff>151619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2933700"/>
          <a:ext cx="8028571" cy="624761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51</xdr:row>
      <xdr:rowOff>0</xdr:rowOff>
    </xdr:from>
    <xdr:to>
      <xdr:col>17</xdr:col>
      <xdr:colOff>217828</xdr:colOff>
      <xdr:row>70</xdr:row>
      <xdr:rowOff>151929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9791700"/>
          <a:ext cx="9971428" cy="3771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74</xdr:row>
      <xdr:rowOff>0</xdr:rowOff>
    </xdr:from>
    <xdr:to>
      <xdr:col>9</xdr:col>
      <xdr:colOff>494629</xdr:colOff>
      <xdr:row>86</xdr:row>
      <xdr:rowOff>66381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9600" y="14173200"/>
          <a:ext cx="5371429" cy="2352381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74</xdr:row>
      <xdr:rowOff>0</xdr:rowOff>
    </xdr:from>
    <xdr:to>
      <xdr:col>18</xdr:col>
      <xdr:colOff>170971</xdr:colOff>
      <xdr:row>92</xdr:row>
      <xdr:rowOff>66238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315200" y="14173200"/>
          <a:ext cx="3828571" cy="3495238"/>
        </a:xfrm>
        <a:prstGeom prst="rect">
          <a:avLst/>
        </a:prstGeom>
      </xdr:spPr>
    </xdr:pic>
    <xdr:clientData/>
  </xdr:twoCellAnchor>
  <xdr:twoCellAnchor editAs="oneCell">
    <xdr:from>
      <xdr:col>1</xdr:col>
      <xdr:colOff>104775</xdr:colOff>
      <xdr:row>96</xdr:row>
      <xdr:rowOff>9525</xdr:rowOff>
    </xdr:from>
    <xdr:to>
      <xdr:col>10</xdr:col>
      <xdr:colOff>456470</xdr:colOff>
      <xdr:row>104</xdr:row>
      <xdr:rowOff>133144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14375" y="18373725"/>
          <a:ext cx="5838095" cy="1647619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96</xdr:row>
      <xdr:rowOff>0</xdr:rowOff>
    </xdr:from>
    <xdr:to>
      <xdr:col>14</xdr:col>
      <xdr:colOff>380800</xdr:colOff>
      <xdr:row>107</xdr:row>
      <xdr:rowOff>142595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315200" y="18364200"/>
          <a:ext cx="1600000" cy="2238095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111</xdr:row>
      <xdr:rowOff>104775</xdr:rowOff>
    </xdr:from>
    <xdr:to>
      <xdr:col>13</xdr:col>
      <xdr:colOff>180043</xdr:colOff>
      <xdr:row>120</xdr:row>
      <xdr:rowOff>180751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47700" y="21326475"/>
          <a:ext cx="7457143" cy="1790476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123</xdr:row>
      <xdr:rowOff>104775</xdr:rowOff>
    </xdr:from>
    <xdr:to>
      <xdr:col>13</xdr:col>
      <xdr:colOff>399090</xdr:colOff>
      <xdr:row>133</xdr:row>
      <xdr:rowOff>114061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47700" y="23612475"/>
          <a:ext cx="7676190" cy="191428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137</xdr:row>
      <xdr:rowOff>0</xdr:rowOff>
    </xdr:from>
    <xdr:to>
      <xdr:col>13</xdr:col>
      <xdr:colOff>246705</xdr:colOff>
      <xdr:row>147</xdr:row>
      <xdr:rowOff>123571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9600" y="26174700"/>
          <a:ext cx="7561905" cy="202857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151</xdr:row>
      <xdr:rowOff>0</xdr:rowOff>
    </xdr:from>
    <xdr:to>
      <xdr:col>21</xdr:col>
      <xdr:colOff>160381</xdr:colOff>
      <xdr:row>152</xdr:row>
      <xdr:rowOff>171405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09600" y="28841700"/>
          <a:ext cx="12352381" cy="3619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1962150</xdr:colOff>
          <xdr:row>0</xdr:row>
          <xdr:rowOff>152400</xdr:rowOff>
        </xdr:from>
        <xdr:to>
          <xdr:col>10</xdr:col>
          <xdr:colOff>19050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Generer banedagbøker og kamprapporter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1971675</xdr:colOff>
          <xdr:row>2</xdr:row>
          <xdr:rowOff>66675</xdr:rowOff>
        </xdr:from>
        <xdr:to>
          <xdr:col>10</xdr:col>
          <xdr:colOff>9525</xdr:colOff>
          <xdr:row>3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Slett banedagbøker og kampraporter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38100</xdr:rowOff>
        </xdr:from>
        <xdr:to>
          <xdr:col>6</xdr:col>
          <xdr:colOff>1057275</xdr:colOff>
          <xdr:row>3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Oppdater klasse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2</xdr:row>
          <xdr:rowOff>9525</xdr:rowOff>
        </xdr:from>
        <xdr:to>
          <xdr:col>8</xdr:col>
          <xdr:colOff>1724025</xdr:colOff>
          <xdr:row>3</xdr:row>
          <xdr:rowOff>66675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Splitt dommerpar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200026</xdr:colOff>
          <xdr:row>0</xdr:row>
          <xdr:rowOff>142875</xdr:rowOff>
        </xdr:from>
        <xdr:to>
          <xdr:col>8</xdr:col>
          <xdr:colOff>1704976</xdr:colOff>
          <xdr:row>1</xdr:row>
          <xdr:rowOff>133350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648D464D-9F3B-4A5E-8FEC-E0D28483B4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Sorter liste etter bane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41A2E575-CF1A-42B7-A628-BA21AF42F319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1467A33A-B484-4ECB-ADAA-2E33ADD63E95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577EDA40-6347-4AFB-87C9-A13A1887A1F0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4993C0AE-B12F-41AE-9689-B57C1D73320D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332C2931-C772-44AD-B5FD-A9CC4E02ED7F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D2D8A1B9-BB43-45EF-A84F-87554CB3EAD0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31" name="Slagenhallen_1" displayName="Slagenhallen_1" ref="A4:I26" totalsRowShown="0" headerRowDxfId="24" dataDxfId="25" headerRowBorderDxfId="34" tableBorderDxfId="35">
  <autoFilter ref="A4:I2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name="Tid" dataDxfId="33"/>
    <tableColumn id="2" name="Turnering" dataDxfId="32"/>
    <tableColumn id="3" name="Kampnr" dataDxfId="31"/>
    <tableColumn id="4" name="Bane" dataDxfId="30"/>
    <tableColumn id="5" name="Hjemmelag" dataDxfId="29"/>
    <tableColumn id="6" name="Bortelag" dataDxfId="28"/>
    <tableColumn id="7" name="Klasse"/>
    <tableColumn id="8" name="Dommer 1" dataDxfId="27"/>
    <tableColumn id="9" name="Dommer 2" dataDxfId="2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2" name="Slagenhallen_2" displayName="Slagenhallen_2" ref="A4:I26" totalsRowShown="0" headerRowDxfId="12" dataDxfId="13" headerRowBorderDxfId="22" tableBorderDxfId="23">
  <autoFilter ref="A4:I2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name="Tid" dataDxfId="21"/>
    <tableColumn id="2" name="Turnering" dataDxfId="20"/>
    <tableColumn id="3" name="Kampnr" dataDxfId="19"/>
    <tableColumn id="4" name="Bane" dataDxfId="18"/>
    <tableColumn id="5" name="Hjemmelag" dataDxfId="17"/>
    <tableColumn id="6" name="Bortelag" dataDxfId="16"/>
    <tableColumn id="7" name="Klasse"/>
    <tableColumn id="8" name="Dommer 1" dataDxfId="15"/>
    <tableColumn id="9" name="Dommer 2" dataDxfId="14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33" name="Slagenhallen_3" displayName="Slagenhallen_3" ref="A4:I27" totalsRowShown="0" headerRowDxfId="0" dataDxfId="1" headerRowBorderDxfId="10" tableBorderDxfId="11">
  <autoFilter ref="A4:I27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name="Tid" dataDxfId="9"/>
    <tableColumn id="2" name="Turnering" dataDxfId="8"/>
    <tableColumn id="3" name="Kampnr" dataDxfId="7"/>
    <tableColumn id="4" name="Bane" dataDxfId="6"/>
    <tableColumn id="5" name="Hjemmelag" dataDxfId="5"/>
    <tableColumn id="6" name="Bortelag" dataDxfId="4"/>
    <tableColumn id="7" name="Klasse"/>
    <tableColumn id="8" name="Dommer 1" dataDxfId="3"/>
    <tableColumn id="9" name="Dommer 2" dataDxfId="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handball.no/system/banedagbok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L156"/>
  <sheetViews>
    <sheetView workbookViewId="0">
      <selection activeCell="C14" sqref="C14"/>
    </sheetView>
  </sheetViews>
  <sheetFormatPr defaultRowHeight="15" x14ac:dyDescent="0.25"/>
  <sheetData>
    <row r="3" spans="2:3" ht="21" x14ac:dyDescent="0.35">
      <c r="B3" s="45" t="s">
        <v>55</v>
      </c>
    </row>
    <row r="5" spans="2:3" x14ac:dyDescent="0.25">
      <c r="B5" t="s">
        <v>54</v>
      </c>
    </row>
    <row r="7" spans="2:3" x14ac:dyDescent="0.25">
      <c r="B7" t="s">
        <v>53</v>
      </c>
    </row>
    <row r="14" spans="2:3" x14ac:dyDescent="0.25">
      <c r="B14" t="s">
        <v>56</v>
      </c>
      <c r="C14" s="46" t="s">
        <v>57</v>
      </c>
    </row>
    <row r="50" spans="2:2" x14ac:dyDescent="0.25">
      <c r="B50" t="s">
        <v>58</v>
      </c>
    </row>
    <row r="73" spans="2:12" x14ac:dyDescent="0.25">
      <c r="B73" t="s">
        <v>59</v>
      </c>
    </row>
    <row r="75" spans="2:12" x14ac:dyDescent="0.25">
      <c r="L75" t="s">
        <v>60</v>
      </c>
    </row>
    <row r="95" spans="2:2" x14ac:dyDescent="0.25">
      <c r="B95" s="48" t="s">
        <v>61</v>
      </c>
    </row>
    <row r="99" spans="2:12" x14ac:dyDescent="0.25">
      <c r="L99" s="50" t="s">
        <v>65</v>
      </c>
    </row>
    <row r="111" spans="2:12" x14ac:dyDescent="0.25">
      <c r="B111" s="48" t="s">
        <v>62</v>
      </c>
    </row>
    <row r="123" spans="2:2" x14ac:dyDescent="0.25">
      <c r="B123" s="47" t="s">
        <v>63</v>
      </c>
    </row>
    <row r="136" spans="2:2" x14ac:dyDescent="0.25">
      <c r="B136" t="s">
        <v>64</v>
      </c>
    </row>
    <row r="150" spans="2:2" x14ac:dyDescent="0.25">
      <c r="B150" t="s">
        <v>67</v>
      </c>
    </row>
    <row r="156" spans="2:2" x14ac:dyDescent="0.25">
      <c r="B156" t="s">
        <v>66</v>
      </c>
    </row>
  </sheetData>
  <hyperlinks>
    <hyperlink ref="C14" r:id="rId1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100"/>
  <sheetViews>
    <sheetView tabSelected="1" workbookViewId="0">
      <selection activeCell="H72" sqref="H72"/>
    </sheetView>
  </sheetViews>
  <sheetFormatPr defaultColWidth="9.140625" defaultRowHeight="15" x14ac:dyDescent="0.25"/>
  <cols>
    <col min="1" max="1" width="23.7109375" style="1" customWidth="1"/>
    <col min="2" max="2" width="30.85546875" style="1" customWidth="1"/>
    <col min="3" max="3" width="12.7109375" style="35" customWidth="1"/>
    <col min="4" max="4" width="22.5703125" style="1" customWidth="1"/>
    <col min="5" max="5" width="21.7109375" style="1" customWidth="1"/>
    <col min="6" max="6" width="25.42578125" style="1" customWidth="1"/>
    <col min="7" max="7" width="16.140625" style="1" customWidth="1"/>
    <col min="8" max="8" width="30.5703125" style="1" customWidth="1"/>
    <col min="9" max="9" width="29.7109375" style="1" customWidth="1"/>
    <col min="10" max="10" width="52.7109375" style="1" customWidth="1"/>
    <col min="11" max="16384" width="9.140625" style="1"/>
  </cols>
  <sheetData>
    <row r="1" spans="1:10" ht="15.75" x14ac:dyDescent="0.25">
      <c r="A1" s="5" t="s">
        <v>9</v>
      </c>
      <c r="B1" s="42">
        <v>42827</v>
      </c>
      <c r="C1" s="34"/>
      <c r="D1" s="33" t="s">
        <v>16</v>
      </c>
      <c r="E1" s="43" t="s">
        <v>52</v>
      </c>
    </row>
    <row r="2" spans="1:10" x14ac:dyDescent="0.25">
      <c r="A2" s="5" t="s">
        <v>10</v>
      </c>
      <c r="B2" s="43">
        <v>20</v>
      </c>
      <c r="D2" s="33" t="s">
        <v>17</v>
      </c>
      <c r="E2" s="44">
        <v>3</v>
      </c>
    </row>
    <row r="3" spans="1:10" x14ac:dyDescent="0.25">
      <c r="A3" s="5" t="s">
        <v>18</v>
      </c>
      <c r="B3" s="43">
        <v>5</v>
      </c>
      <c r="D3" s="5" t="s">
        <v>51</v>
      </c>
      <c r="E3" s="44">
        <v>80</v>
      </c>
    </row>
    <row r="4" spans="1:10" x14ac:dyDescent="0.25">
      <c r="C4" s="1"/>
    </row>
    <row r="5" spans="1:10" ht="15.75" x14ac:dyDescent="0.25">
      <c r="A5" s="2" t="s">
        <v>0</v>
      </c>
      <c r="B5" s="2" t="s">
        <v>1</v>
      </c>
      <c r="C5" s="36" t="s">
        <v>2</v>
      </c>
      <c r="D5" s="2" t="s">
        <v>3</v>
      </c>
      <c r="E5" s="2" t="s">
        <v>4</v>
      </c>
      <c r="F5" s="2" t="s">
        <v>5</v>
      </c>
      <c r="G5" s="2" t="s">
        <v>8</v>
      </c>
      <c r="H5" s="2" t="s">
        <v>6</v>
      </c>
      <c r="I5" s="2" t="s">
        <v>7</v>
      </c>
      <c r="J5" s="2" t="s">
        <v>50</v>
      </c>
    </row>
    <row r="6" spans="1:10" x14ac:dyDescent="0.25">
      <c r="A6" s="3">
        <v>0.375</v>
      </c>
      <c r="B6" t="s">
        <v>68</v>
      </c>
      <c r="C6" s="37" t="s">
        <v>113</v>
      </c>
      <c r="D6" t="s">
        <v>69</v>
      </c>
      <c r="E6" t="s">
        <v>70</v>
      </c>
      <c r="F6" t="s">
        <v>71</v>
      </c>
      <c r="G6" t="str">
        <f>MID(B6,FIND(" ",B6,1),4)</f>
        <v xml:space="preserve"> G10</v>
      </c>
      <c r="H6" s="1" t="str">
        <f>IFERROR(LEFT(J6,FIND(" og ",J6,1)),J6)</f>
        <v xml:space="preserve">Anette Røed </v>
      </c>
      <c r="I6" s="1" t="str">
        <f>IFERROR(RIGHT(J6,LEN(J6) - FIND(" og ",J6,1) - 3),"")</f>
        <v>Anne Maren Eilerås</v>
      </c>
      <c r="J6" s="55" t="s">
        <v>180</v>
      </c>
    </row>
    <row r="7" spans="1:10" x14ac:dyDescent="0.25">
      <c r="A7" s="3">
        <v>0.3923611111111111</v>
      </c>
      <c r="B7" t="s">
        <v>68</v>
      </c>
      <c r="C7" s="37" t="s">
        <v>116</v>
      </c>
      <c r="D7" t="s">
        <v>69</v>
      </c>
      <c r="E7" t="s">
        <v>80</v>
      </c>
      <c r="F7" t="s">
        <v>81</v>
      </c>
      <c r="G7" t="str">
        <f t="shared" ref="G7:G70" si="0">MID(B7,FIND(" ",B7,1),4)</f>
        <v xml:space="preserve"> G10</v>
      </c>
      <c r="H7" s="1" t="str">
        <f t="shared" ref="H7:H70" si="1">IFERROR(LEFT(J7,FIND(" og ",J7,1)),J7)</f>
        <v xml:space="preserve">Anette Røed </v>
      </c>
      <c r="I7" s="1" t="str">
        <f t="shared" ref="I7:I70" si="2">IFERROR(RIGHT(J7,LEN(J7) - FIND(" og ",J7,1) - 3),"")</f>
        <v>Anne Maren Eilerås</v>
      </c>
      <c r="J7" s="55" t="s">
        <v>180</v>
      </c>
    </row>
    <row r="8" spans="1:10" x14ac:dyDescent="0.25">
      <c r="A8" s="3">
        <v>0.40972222222222227</v>
      </c>
      <c r="B8" t="s">
        <v>68</v>
      </c>
      <c r="C8" s="37" t="s">
        <v>119</v>
      </c>
      <c r="D8" t="s">
        <v>69</v>
      </c>
      <c r="E8" t="s">
        <v>86</v>
      </c>
      <c r="F8" t="s">
        <v>87</v>
      </c>
      <c r="G8" t="str">
        <f t="shared" si="0"/>
        <v xml:space="preserve"> G10</v>
      </c>
      <c r="H8" s="1" t="str">
        <f t="shared" si="1"/>
        <v xml:space="preserve">Anette Røed </v>
      </c>
      <c r="I8" s="1" t="str">
        <f t="shared" si="2"/>
        <v>Anne Maren Eilerås</v>
      </c>
      <c r="J8" s="55" t="s">
        <v>180</v>
      </c>
    </row>
    <row r="9" spans="1:10" x14ac:dyDescent="0.25">
      <c r="A9" s="3">
        <v>0.42708333333333331</v>
      </c>
      <c r="B9" t="s">
        <v>68</v>
      </c>
      <c r="C9" s="37" t="s">
        <v>122</v>
      </c>
      <c r="D9" t="s">
        <v>69</v>
      </c>
      <c r="E9" t="s">
        <v>92</v>
      </c>
      <c r="F9" t="s">
        <v>80</v>
      </c>
      <c r="G9" t="str">
        <f t="shared" si="0"/>
        <v xml:space="preserve"> G10</v>
      </c>
      <c r="H9" s="1" t="str">
        <f t="shared" si="1"/>
        <v xml:space="preserve">Anette Røed </v>
      </c>
      <c r="I9" s="1" t="str">
        <f t="shared" si="2"/>
        <v>Anne Maren Eilerås</v>
      </c>
      <c r="J9" s="55" t="s">
        <v>180</v>
      </c>
    </row>
    <row r="10" spans="1:10" x14ac:dyDescent="0.25">
      <c r="A10" s="3">
        <v>0.44444444444444442</v>
      </c>
      <c r="B10" t="s">
        <v>68</v>
      </c>
      <c r="C10" s="37" t="s">
        <v>125</v>
      </c>
      <c r="D10" t="s">
        <v>69</v>
      </c>
      <c r="E10" t="s">
        <v>71</v>
      </c>
      <c r="F10" t="s">
        <v>86</v>
      </c>
      <c r="G10" t="str">
        <f t="shared" si="0"/>
        <v xml:space="preserve"> G10</v>
      </c>
      <c r="H10" s="1" t="str">
        <f t="shared" si="1"/>
        <v xml:space="preserve">Anette Røed </v>
      </c>
      <c r="I10" s="1" t="str">
        <f t="shared" si="2"/>
        <v>Anne Maren Eilerås</v>
      </c>
      <c r="J10" s="55" t="s">
        <v>180</v>
      </c>
    </row>
    <row r="11" spans="1:10" x14ac:dyDescent="0.25">
      <c r="A11" s="3">
        <v>0.46180555555555558</v>
      </c>
      <c r="B11" t="s">
        <v>68</v>
      </c>
      <c r="C11" s="37" t="s">
        <v>128</v>
      </c>
      <c r="D11" t="s">
        <v>69</v>
      </c>
      <c r="E11" t="s">
        <v>81</v>
      </c>
      <c r="F11" t="s">
        <v>70</v>
      </c>
      <c r="G11" t="str">
        <f t="shared" si="0"/>
        <v xml:space="preserve"> G10</v>
      </c>
      <c r="H11" s="1" t="str">
        <f t="shared" si="1"/>
        <v xml:space="preserve">Maya W Solberg </v>
      </c>
      <c r="I11" s="1" t="str">
        <f t="shared" si="2"/>
        <v>Vinos Ismail</v>
      </c>
      <c r="J11" s="55" t="s">
        <v>181</v>
      </c>
    </row>
    <row r="12" spans="1:10" x14ac:dyDescent="0.25">
      <c r="A12" s="3">
        <v>0.47916666666666669</v>
      </c>
      <c r="B12" t="s">
        <v>68</v>
      </c>
      <c r="C12" s="37" t="s">
        <v>131</v>
      </c>
      <c r="D12" t="s">
        <v>69</v>
      </c>
      <c r="E12" t="s">
        <v>80</v>
      </c>
      <c r="F12" t="s">
        <v>87</v>
      </c>
      <c r="G12" t="str">
        <f t="shared" si="0"/>
        <v xml:space="preserve"> G10</v>
      </c>
      <c r="H12" s="1" t="str">
        <f t="shared" si="1"/>
        <v xml:space="preserve">Ingeborg Morberg </v>
      </c>
      <c r="I12" s="1" t="str">
        <f t="shared" si="2"/>
        <v>Vinos Ismail</v>
      </c>
      <c r="J12" s="55" t="s">
        <v>182</v>
      </c>
    </row>
    <row r="13" spans="1:10" x14ac:dyDescent="0.25">
      <c r="A13" s="3">
        <v>0.50694444444444442</v>
      </c>
      <c r="B13" t="s">
        <v>68</v>
      </c>
      <c r="C13" s="37" t="s">
        <v>134</v>
      </c>
      <c r="D13" t="s">
        <v>69</v>
      </c>
      <c r="E13" t="s">
        <v>70</v>
      </c>
      <c r="F13" t="s">
        <v>92</v>
      </c>
      <c r="G13" t="str">
        <f t="shared" si="0"/>
        <v xml:space="preserve"> G10</v>
      </c>
      <c r="H13" s="1" t="str">
        <f t="shared" si="1"/>
        <v xml:space="preserve">Anette Røed </v>
      </c>
      <c r="I13" s="1" t="str">
        <f t="shared" si="2"/>
        <v>Anne Maren Eilerås</v>
      </c>
      <c r="J13" s="55" t="s">
        <v>180</v>
      </c>
    </row>
    <row r="14" spans="1:10" x14ac:dyDescent="0.25">
      <c r="A14" s="3">
        <v>0.52430555555555558</v>
      </c>
      <c r="B14" t="s">
        <v>68</v>
      </c>
      <c r="C14" s="37" t="s">
        <v>137</v>
      </c>
      <c r="D14" t="s">
        <v>69</v>
      </c>
      <c r="E14" t="s">
        <v>86</v>
      </c>
      <c r="F14" t="s">
        <v>81</v>
      </c>
      <c r="G14" t="str">
        <f t="shared" si="0"/>
        <v xml:space="preserve"> G10</v>
      </c>
      <c r="H14" s="1" t="str">
        <f t="shared" si="1"/>
        <v xml:space="preserve">Anette Røed </v>
      </c>
      <c r="I14" s="1" t="str">
        <f t="shared" si="2"/>
        <v>Anne Maren Eilerås</v>
      </c>
      <c r="J14" s="55" t="s">
        <v>180</v>
      </c>
    </row>
    <row r="15" spans="1:10" x14ac:dyDescent="0.25">
      <c r="A15" s="3">
        <v>0.54166666666666663</v>
      </c>
      <c r="B15" t="s">
        <v>68</v>
      </c>
      <c r="C15" s="37" t="s">
        <v>140</v>
      </c>
      <c r="D15" t="s">
        <v>69</v>
      </c>
      <c r="E15" t="s">
        <v>71</v>
      </c>
      <c r="F15" t="s">
        <v>87</v>
      </c>
      <c r="G15" t="str">
        <f t="shared" si="0"/>
        <v xml:space="preserve"> G10</v>
      </c>
      <c r="H15" s="1" t="str">
        <f t="shared" si="1"/>
        <v xml:space="preserve">Anette Røed </v>
      </c>
      <c r="I15" s="1" t="str">
        <f t="shared" si="2"/>
        <v>Anne Maren Eilerås</v>
      </c>
      <c r="J15" s="55" t="s">
        <v>180</v>
      </c>
    </row>
    <row r="16" spans="1:10" x14ac:dyDescent="0.25">
      <c r="A16" s="3">
        <v>0.55902777777777779</v>
      </c>
      <c r="B16" t="s">
        <v>68</v>
      </c>
      <c r="C16" s="37" t="s">
        <v>143</v>
      </c>
      <c r="D16" t="s">
        <v>69</v>
      </c>
      <c r="E16" t="s">
        <v>81</v>
      </c>
      <c r="F16" t="s">
        <v>92</v>
      </c>
      <c r="G16" t="str">
        <f t="shared" si="0"/>
        <v xml:space="preserve"> G10</v>
      </c>
      <c r="H16" s="1" t="str">
        <f t="shared" si="1"/>
        <v xml:space="preserve">Anette Røed </v>
      </c>
      <c r="I16" s="1" t="str">
        <f t="shared" si="2"/>
        <v>Anne Maren Eilerås</v>
      </c>
      <c r="J16" s="55" t="s">
        <v>180</v>
      </c>
    </row>
    <row r="17" spans="1:10" x14ac:dyDescent="0.25">
      <c r="A17" s="3">
        <v>0.57638888888888895</v>
      </c>
      <c r="B17" t="s">
        <v>98</v>
      </c>
      <c r="C17" s="37" t="s">
        <v>148</v>
      </c>
      <c r="D17" t="s">
        <v>69</v>
      </c>
      <c r="E17" t="s">
        <v>99</v>
      </c>
      <c r="F17" t="s">
        <v>93</v>
      </c>
      <c r="G17" t="str">
        <f t="shared" si="0"/>
        <v xml:space="preserve"> G9 </v>
      </c>
      <c r="H17" s="1" t="str">
        <f t="shared" si="1"/>
        <v xml:space="preserve">Helle Kierulf </v>
      </c>
      <c r="I17" s="1" t="str">
        <f t="shared" si="2"/>
        <v>Lene Brosvik</v>
      </c>
      <c r="J17" s="55" t="s">
        <v>183</v>
      </c>
    </row>
    <row r="18" spans="1:10" x14ac:dyDescent="0.25">
      <c r="A18" s="3">
        <v>0.59375</v>
      </c>
      <c r="B18" t="s">
        <v>98</v>
      </c>
      <c r="C18" s="37" t="s">
        <v>151</v>
      </c>
      <c r="D18" t="s">
        <v>69</v>
      </c>
      <c r="E18" t="s">
        <v>105</v>
      </c>
      <c r="F18" t="s">
        <v>86</v>
      </c>
      <c r="G18" t="str">
        <f t="shared" si="0"/>
        <v xml:space="preserve"> G9 </v>
      </c>
      <c r="H18" s="1" t="str">
        <f t="shared" si="1"/>
        <v xml:space="preserve">Helle Kierulf </v>
      </c>
      <c r="I18" s="1" t="str">
        <f t="shared" si="2"/>
        <v>Lene Brosvik</v>
      </c>
      <c r="J18" s="55" t="s">
        <v>183</v>
      </c>
    </row>
    <row r="19" spans="1:10" x14ac:dyDescent="0.25">
      <c r="A19" s="3">
        <v>0.61111111111111105</v>
      </c>
      <c r="B19" t="s">
        <v>98</v>
      </c>
      <c r="C19" s="37" t="s">
        <v>154</v>
      </c>
      <c r="D19" t="s">
        <v>69</v>
      </c>
      <c r="E19" t="s">
        <v>70</v>
      </c>
      <c r="F19" t="s">
        <v>108</v>
      </c>
      <c r="G19" t="str">
        <f t="shared" si="0"/>
        <v xml:space="preserve"> G9 </v>
      </c>
      <c r="H19" s="1" t="str">
        <f t="shared" si="1"/>
        <v xml:space="preserve">Celine Kjær Molvig </v>
      </c>
      <c r="I19" s="1" t="str">
        <f t="shared" si="2"/>
        <v>Vinos Ismail</v>
      </c>
      <c r="J19" s="55" t="s">
        <v>184</v>
      </c>
    </row>
    <row r="20" spans="1:10" x14ac:dyDescent="0.25">
      <c r="A20" s="3">
        <v>0.62847222222222221</v>
      </c>
      <c r="B20" t="s">
        <v>98</v>
      </c>
      <c r="C20" s="37" t="s">
        <v>157</v>
      </c>
      <c r="D20" t="s">
        <v>69</v>
      </c>
      <c r="E20" t="s">
        <v>111</v>
      </c>
      <c r="F20" t="s">
        <v>105</v>
      </c>
      <c r="G20" t="str">
        <f t="shared" si="0"/>
        <v xml:space="preserve"> G9 </v>
      </c>
      <c r="H20" s="1" t="str">
        <f t="shared" si="1"/>
        <v xml:space="preserve">Celine Kjær Molvig </v>
      </c>
      <c r="I20" s="1" t="str">
        <f t="shared" si="2"/>
        <v>Vinos Ismail</v>
      </c>
      <c r="J20" s="55" t="s">
        <v>184</v>
      </c>
    </row>
    <row r="21" spans="1:10" x14ac:dyDescent="0.25">
      <c r="A21" s="3">
        <v>0.64583333333333337</v>
      </c>
      <c r="B21" t="s">
        <v>98</v>
      </c>
      <c r="C21" s="37" t="s">
        <v>160</v>
      </c>
      <c r="D21" t="s">
        <v>69</v>
      </c>
      <c r="E21" t="s">
        <v>93</v>
      </c>
      <c r="F21" t="s">
        <v>70</v>
      </c>
      <c r="G21" t="str">
        <f t="shared" si="0"/>
        <v xml:space="preserve"> G9 </v>
      </c>
      <c r="H21" s="1" t="str">
        <f t="shared" si="1"/>
        <v xml:space="preserve">Helle Kierulf </v>
      </c>
      <c r="I21" s="1" t="str">
        <f t="shared" si="2"/>
        <v>Lene Brosvik</v>
      </c>
      <c r="J21" s="55" t="s">
        <v>183</v>
      </c>
    </row>
    <row r="22" spans="1:10" x14ac:dyDescent="0.25">
      <c r="A22" s="3">
        <v>0.66319444444444442</v>
      </c>
      <c r="B22" t="s">
        <v>98</v>
      </c>
      <c r="C22" s="37" t="s">
        <v>163</v>
      </c>
      <c r="D22" t="s">
        <v>69</v>
      </c>
      <c r="E22" t="s">
        <v>86</v>
      </c>
      <c r="F22" t="s">
        <v>99</v>
      </c>
      <c r="G22" t="str">
        <f t="shared" si="0"/>
        <v xml:space="preserve"> G9 </v>
      </c>
      <c r="H22" s="1" t="str">
        <f t="shared" si="1"/>
        <v xml:space="preserve">Helle Kierulf </v>
      </c>
      <c r="I22" s="1" t="str">
        <f t="shared" si="2"/>
        <v>Lene Brosvik</v>
      </c>
      <c r="J22" s="55" t="s">
        <v>183</v>
      </c>
    </row>
    <row r="23" spans="1:10" x14ac:dyDescent="0.25">
      <c r="A23" s="3">
        <v>0.68055555555555547</v>
      </c>
      <c r="B23" t="s">
        <v>98</v>
      </c>
      <c r="C23" s="37" t="s">
        <v>166</v>
      </c>
      <c r="D23" t="s">
        <v>69</v>
      </c>
      <c r="E23" t="s">
        <v>105</v>
      </c>
      <c r="F23" t="s">
        <v>108</v>
      </c>
      <c r="G23" t="str">
        <f t="shared" si="0"/>
        <v xml:space="preserve"> G9 </v>
      </c>
      <c r="H23" s="1" t="str">
        <f t="shared" si="1"/>
        <v xml:space="preserve">Helle Kierulf </v>
      </c>
      <c r="I23" s="1" t="str">
        <f t="shared" si="2"/>
        <v>Lene Brosvik</v>
      </c>
      <c r="J23" s="55" t="s">
        <v>183</v>
      </c>
    </row>
    <row r="24" spans="1:10" x14ac:dyDescent="0.25">
      <c r="A24" s="53">
        <v>0.69791666666666663</v>
      </c>
      <c r="B24" s="1" t="s">
        <v>98</v>
      </c>
      <c r="C24" s="35" t="s">
        <v>169</v>
      </c>
      <c r="D24" s="1" t="s">
        <v>69</v>
      </c>
      <c r="E24" s="1" t="s">
        <v>99</v>
      </c>
      <c r="F24" s="1" t="s">
        <v>111</v>
      </c>
      <c r="G24" t="str">
        <f t="shared" si="0"/>
        <v xml:space="preserve"> G9 </v>
      </c>
      <c r="H24" s="1" t="str">
        <f t="shared" si="1"/>
        <v xml:space="preserve">Ulrik Kjærgaard </v>
      </c>
      <c r="I24" s="1" t="str">
        <f t="shared" si="2"/>
        <v>Hoanh Vinh</v>
      </c>
      <c r="J24" s="55" t="s">
        <v>185</v>
      </c>
    </row>
    <row r="25" spans="1:10" x14ac:dyDescent="0.25">
      <c r="A25" s="53">
        <v>0.72569444444444453</v>
      </c>
      <c r="B25" s="1" t="s">
        <v>98</v>
      </c>
      <c r="C25" s="35" t="s">
        <v>172</v>
      </c>
      <c r="D25" s="1" t="s">
        <v>69</v>
      </c>
      <c r="E25" s="1" t="s">
        <v>70</v>
      </c>
      <c r="F25" s="1" t="s">
        <v>86</v>
      </c>
      <c r="G25" t="str">
        <f t="shared" si="0"/>
        <v xml:space="preserve"> G9 </v>
      </c>
      <c r="H25" s="1" t="str">
        <f t="shared" si="1"/>
        <v xml:space="preserve">Ulrik Kjærgaard </v>
      </c>
      <c r="I25" s="1" t="str">
        <f t="shared" si="2"/>
        <v>Hoanh Vinh</v>
      </c>
      <c r="J25" s="55" t="s">
        <v>185</v>
      </c>
    </row>
    <row r="26" spans="1:10" x14ac:dyDescent="0.25">
      <c r="A26" s="53">
        <v>0.74305555555555547</v>
      </c>
      <c r="B26" s="1" t="s">
        <v>98</v>
      </c>
      <c r="C26" s="35" t="s">
        <v>175</v>
      </c>
      <c r="D26" s="1" t="s">
        <v>69</v>
      </c>
      <c r="E26" s="1" t="s">
        <v>93</v>
      </c>
      <c r="F26" s="1" t="s">
        <v>108</v>
      </c>
      <c r="G26" t="str">
        <f t="shared" si="0"/>
        <v xml:space="preserve"> G9 </v>
      </c>
      <c r="H26" s="1" t="str">
        <f t="shared" si="1"/>
        <v xml:space="preserve">Helle Kierulf </v>
      </c>
      <c r="I26" s="1" t="str">
        <f t="shared" si="2"/>
        <v>Lene Brosvik</v>
      </c>
      <c r="J26" s="55" t="s">
        <v>183</v>
      </c>
    </row>
    <row r="27" spans="1:10" x14ac:dyDescent="0.25">
      <c r="A27" s="53">
        <v>0.76041666666666663</v>
      </c>
      <c r="B27" s="1" t="s">
        <v>98</v>
      </c>
      <c r="C27" s="35" t="s">
        <v>178</v>
      </c>
      <c r="D27" s="1" t="s">
        <v>69</v>
      </c>
      <c r="E27" s="1" t="s">
        <v>86</v>
      </c>
      <c r="F27" s="1" t="s">
        <v>111</v>
      </c>
      <c r="G27" t="str">
        <f t="shared" si="0"/>
        <v xml:space="preserve"> G9 </v>
      </c>
      <c r="H27" s="1" t="str">
        <f t="shared" si="1"/>
        <v xml:space="preserve">Helle Kierulf </v>
      </c>
      <c r="I27" s="1" t="str">
        <f t="shared" si="2"/>
        <v>Lene Brosvik</v>
      </c>
      <c r="J27" s="55" t="s">
        <v>183</v>
      </c>
    </row>
    <row r="28" spans="1:10" x14ac:dyDescent="0.25">
      <c r="A28" s="3">
        <v>0.375</v>
      </c>
      <c r="B28" t="s">
        <v>72</v>
      </c>
      <c r="C28" s="37" t="s">
        <v>114</v>
      </c>
      <c r="D28" t="s">
        <v>73</v>
      </c>
      <c r="E28" t="s">
        <v>74</v>
      </c>
      <c r="F28" t="s">
        <v>75</v>
      </c>
      <c r="G28" t="str">
        <f t="shared" si="0"/>
        <v xml:space="preserve"> G10</v>
      </c>
      <c r="H28" s="1" t="str">
        <f t="shared" si="1"/>
        <v xml:space="preserve">Helle Kierulf </v>
      </c>
      <c r="I28" s="1" t="str">
        <f t="shared" si="2"/>
        <v>Lene Brosvik</v>
      </c>
      <c r="J28" s="55" t="s">
        <v>183</v>
      </c>
    </row>
    <row r="29" spans="1:10" x14ac:dyDescent="0.25">
      <c r="A29" s="3">
        <v>0.3923611111111111</v>
      </c>
      <c r="B29" t="s">
        <v>72</v>
      </c>
      <c r="C29" s="37" t="s">
        <v>117</v>
      </c>
      <c r="D29" t="s">
        <v>73</v>
      </c>
      <c r="E29" t="s">
        <v>82</v>
      </c>
      <c r="F29" t="s">
        <v>83</v>
      </c>
      <c r="G29" t="str">
        <f t="shared" si="0"/>
        <v xml:space="preserve"> G10</v>
      </c>
      <c r="H29" s="1" t="str">
        <f t="shared" si="1"/>
        <v xml:space="preserve">Celine Kjær Molvig </v>
      </c>
      <c r="I29" s="1" t="str">
        <f t="shared" si="2"/>
        <v>Vinos Ismail</v>
      </c>
      <c r="J29" s="56" t="s">
        <v>184</v>
      </c>
    </row>
    <row r="30" spans="1:10" x14ac:dyDescent="0.25">
      <c r="A30" s="3">
        <v>0.40972222222222227</v>
      </c>
      <c r="B30" t="s">
        <v>72</v>
      </c>
      <c r="C30" s="37" t="s">
        <v>120</v>
      </c>
      <c r="D30" t="s">
        <v>73</v>
      </c>
      <c r="E30" t="s">
        <v>88</v>
      </c>
      <c r="F30" t="s">
        <v>89</v>
      </c>
      <c r="G30" t="str">
        <f t="shared" si="0"/>
        <v xml:space="preserve"> G10</v>
      </c>
      <c r="H30" s="1" t="str">
        <f t="shared" si="1"/>
        <v xml:space="preserve">Celine Kjær Molvig </v>
      </c>
      <c r="I30" s="1" t="str">
        <f t="shared" si="2"/>
        <v>Vinos Ismail</v>
      </c>
      <c r="J30" s="56" t="s">
        <v>184</v>
      </c>
    </row>
    <row r="31" spans="1:10" x14ac:dyDescent="0.25">
      <c r="A31" s="3">
        <v>0.42708333333333331</v>
      </c>
      <c r="B31" t="s">
        <v>72</v>
      </c>
      <c r="C31" s="37" t="s">
        <v>123</v>
      </c>
      <c r="D31" t="s">
        <v>73</v>
      </c>
      <c r="E31" t="s">
        <v>93</v>
      </c>
      <c r="F31" t="s">
        <v>82</v>
      </c>
      <c r="G31" t="str">
        <f t="shared" si="0"/>
        <v xml:space="preserve"> G10</v>
      </c>
      <c r="H31" s="1" t="str">
        <f t="shared" si="1"/>
        <v xml:space="preserve">Celine Kjær Molvig </v>
      </c>
      <c r="I31" s="1" t="str">
        <f t="shared" si="2"/>
        <v>Vinos Ismail</v>
      </c>
      <c r="J31" s="56" t="s">
        <v>184</v>
      </c>
    </row>
    <row r="32" spans="1:10" x14ac:dyDescent="0.25">
      <c r="A32" s="3">
        <v>0.44444444444444442</v>
      </c>
      <c r="B32" t="s">
        <v>72</v>
      </c>
      <c r="C32" s="37" t="s">
        <v>126</v>
      </c>
      <c r="D32" t="s">
        <v>73</v>
      </c>
      <c r="E32" t="s">
        <v>75</v>
      </c>
      <c r="F32" t="s">
        <v>88</v>
      </c>
      <c r="G32" t="str">
        <f t="shared" si="0"/>
        <v xml:space="preserve"> G10</v>
      </c>
      <c r="H32" s="1" t="str">
        <f t="shared" si="1"/>
        <v xml:space="preserve">Ingeborg Morberg </v>
      </c>
      <c r="I32" s="1" t="str">
        <f t="shared" si="2"/>
        <v>Maya W Solberg</v>
      </c>
      <c r="J32" s="56" t="s">
        <v>186</v>
      </c>
    </row>
    <row r="33" spans="1:10" x14ac:dyDescent="0.25">
      <c r="A33" s="3">
        <v>0.46180555555555558</v>
      </c>
      <c r="B33" t="s">
        <v>72</v>
      </c>
      <c r="C33" s="37" t="s">
        <v>129</v>
      </c>
      <c r="D33" t="s">
        <v>73</v>
      </c>
      <c r="E33" t="s">
        <v>83</v>
      </c>
      <c r="F33" t="s">
        <v>74</v>
      </c>
      <c r="G33" t="str">
        <f t="shared" si="0"/>
        <v xml:space="preserve"> G10</v>
      </c>
      <c r="H33" s="1" t="str">
        <f t="shared" si="1"/>
        <v xml:space="preserve">Ingeborg Morberg </v>
      </c>
      <c r="I33" s="1" t="str">
        <f t="shared" si="2"/>
        <v>Maya W Solberg</v>
      </c>
      <c r="J33" s="56" t="s">
        <v>186</v>
      </c>
    </row>
    <row r="34" spans="1:10" x14ac:dyDescent="0.25">
      <c r="A34" s="3">
        <v>0.47916666666666669</v>
      </c>
      <c r="B34" t="s">
        <v>72</v>
      </c>
      <c r="C34" s="37" t="s">
        <v>132</v>
      </c>
      <c r="D34" t="s">
        <v>73</v>
      </c>
      <c r="E34" t="s">
        <v>82</v>
      </c>
      <c r="F34" t="s">
        <v>89</v>
      </c>
      <c r="G34" t="str">
        <f t="shared" si="0"/>
        <v xml:space="preserve"> G10</v>
      </c>
      <c r="H34" s="1" t="str">
        <f t="shared" si="1"/>
        <v xml:space="preserve">Ulrik Kjærgaard </v>
      </c>
      <c r="I34" s="1" t="str">
        <f t="shared" si="2"/>
        <v>Hoanh Vinh</v>
      </c>
      <c r="J34" s="56" t="s">
        <v>185</v>
      </c>
    </row>
    <row r="35" spans="1:10" x14ac:dyDescent="0.25">
      <c r="A35" s="3">
        <v>0.50694444444444442</v>
      </c>
      <c r="B35" t="s">
        <v>72</v>
      </c>
      <c r="C35" s="37" t="s">
        <v>135</v>
      </c>
      <c r="D35" t="s">
        <v>73</v>
      </c>
      <c r="E35" t="s">
        <v>74</v>
      </c>
      <c r="F35" t="s">
        <v>93</v>
      </c>
      <c r="G35" t="str">
        <f t="shared" si="0"/>
        <v xml:space="preserve"> G10</v>
      </c>
      <c r="H35" s="1" t="str">
        <f t="shared" si="1"/>
        <v xml:space="preserve">Ulrik Kjærgaard </v>
      </c>
      <c r="I35" s="1" t="str">
        <f t="shared" si="2"/>
        <v>Hoanh Vinh</v>
      </c>
      <c r="J35" s="56" t="s">
        <v>185</v>
      </c>
    </row>
    <row r="36" spans="1:10" x14ac:dyDescent="0.25">
      <c r="A36" s="3">
        <v>0.52430555555555558</v>
      </c>
      <c r="B36" t="s">
        <v>72</v>
      </c>
      <c r="C36" s="37" t="s">
        <v>138</v>
      </c>
      <c r="D36" t="s">
        <v>73</v>
      </c>
      <c r="E36" t="s">
        <v>88</v>
      </c>
      <c r="F36" t="s">
        <v>83</v>
      </c>
      <c r="G36" t="str">
        <f t="shared" si="0"/>
        <v xml:space="preserve"> G10</v>
      </c>
      <c r="H36" s="1" t="str">
        <f t="shared" si="1"/>
        <v xml:space="preserve">Ingeborg Morberg </v>
      </c>
      <c r="I36" s="1" t="str">
        <f t="shared" si="2"/>
        <v>Maya W Solberg</v>
      </c>
      <c r="J36" s="56" t="s">
        <v>186</v>
      </c>
    </row>
    <row r="37" spans="1:10" x14ac:dyDescent="0.25">
      <c r="A37" s="3">
        <v>0.54166666666666663</v>
      </c>
      <c r="B37" t="s">
        <v>72</v>
      </c>
      <c r="C37" s="37" t="s">
        <v>141</v>
      </c>
      <c r="D37" t="s">
        <v>73</v>
      </c>
      <c r="E37" t="s">
        <v>75</v>
      </c>
      <c r="F37" t="s">
        <v>89</v>
      </c>
      <c r="G37" t="str">
        <f t="shared" si="0"/>
        <v xml:space="preserve"> G10</v>
      </c>
      <c r="H37" s="1" t="str">
        <f t="shared" si="1"/>
        <v xml:space="preserve">Ingeborg Morberg </v>
      </c>
      <c r="I37" s="1" t="str">
        <f t="shared" si="2"/>
        <v>Maya W Solberg</v>
      </c>
      <c r="J37" s="56" t="s">
        <v>186</v>
      </c>
    </row>
    <row r="38" spans="1:10" x14ac:dyDescent="0.25">
      <c r="A38" s="3">
        <v>0.55902777777777779</v>
      </c>
      <c r="B38" t="s">
        <v>72</v>
      </c>
      <c r="C38" s="37" t="s">
        <v>144</v>
      </c>
      <c r="D38" t="s">
        <v>73</v>
      </c>
      <c r="E38" t="s">
        <v>83</v>
      </c>
      <c r="F38" t="s">
        <v>93</v>
      </c>
      <c r="G38" t="str">
        <f t="shared" si="0"/>
        <v xml:space="preserve"> G10</v>
      </c>
      <c r="H38" s="1" t="str">
        <f t="shared" si="1"/>
        <v xml:space="preserve">Lotte Bettum </v>
      </c>
      <c r="I38" s="1" t="str">
        <f t="shared" si="2"/>
        <v>Vinos Ismail</v>
      </c>
      <c r="J38" s="56" t="s">
        <v>187</v>
      </c>
    </row>
    <row r="39" spans="1:10" x14ac:dyDescent="0.25">
      <c r="A39" s="3">
        <v>0.57638888888888895</v>
      </c>
      <c r="B39" t="s">
        <v>96</v>
      </c>
      <c r="C39" s="37" t="s">
        <v>147</v>
      </c>
      <c r="D39" t="s">
        <v>73</v>
      </c>
      <c r="E39" t="s">
        <v>83</v>
      </c>
      <c r="F39" t="s">
        <v>97</v>
      </c>
      <c r="G39" t="str">
        <f t="shared" si="0"/>
        <v xml:space="preserve"> G9 </v>
      </c>
      <c r="H39" s="1" t="str">
        <f t="shared" si="1"/>
        <v xml:space="preserve">Selma Henriksen </v>
      </c>
      <c r="I39" s="1" t="str">
        <f t="shared" si="2"/>
        <v>Vinos Ismail</v>
      </c>
      <c r="J39" s="56" t="s">
        <v>188</v>
      </c>
    </row>
    <row r="40" spans="1:10" x14ac:dyDescent="0.25">
      <c r="A40" s="3">
        <v>0.59375</v>
      </c>
      <c r="B40" t="s">
        <v>96</v>
      </c>
      <c r="C40" s="37" t="s">
        <v>149</v>
      </c>
      <c r="D40" t="s">
        <v>73</v>
      </c>
      <c r="E40" t="s">
        <v>100</v>
      </c>
      <c r="F40" t="s">
        <v>101</v>
      </c>
      <c r="G40" t="str">
        <f t="shared" si="0"/>
        <v xml:space="preserve"> G9 </v>
      </c>
      <c r="H40" s="1" t="str">
        <f t="shared" si="1"/>
        <v xml:space="preserve">Ingeborg Morberg </v>
      </c>
      <c r="I40" s="1" t="str">
        <f t="shared" si="2"/>
        <v>Maya W Solberg</v>
      </c>
      <c r="J40" s="56" t="s">
        <v>186</v>
      </c>
    </row>
    <row r="41" spans="1:10" x14ac:dyDescent="0.25">
      <c r="A41" s="3">
        <v>0.61111111111111105</v>
      </c>
      <c r="B41" t="s">
        <v>96</v>
      </c>
      <c r="C41" s="37" t="s">
        <v>152</v>
      </c>
      <c r="D41" t="s">
        <v>73</v>
      </c>
      <c r="E41" t="s">
        <v>106</v>
      </c>
      <c r="F41" t="s">
        <v>71</v>
      </c>
      <c r="G41" t="str">
        <f t="shared" si="0"/>
        <v xml:space="preserve"> G9 </v>
      </c>
      <c r="H41" s="1" t="str">
        <f t="shared" si="1"/>
        <v xml:space="preserve">Ingeborg Morberg </v>
      </c>
      <c r="I41" s="1" t="str">
        <f t="shared" si="2"/>
        <v>Maya W Solberg</v>
      </c>
      <c r="J41" s="56" t="s">
        <v>186</v>
      </c>
    </row>
    <row r="42" spans="1:10" x14ac:dyDescent="0.25">
      <c r="A42" s="3">
        <v>0.62847222222222221</v>
      </c>
      <c r="B42" t="s">
        <v>96</v>
      </c>
      <c r="C42" s="37" t="s">
        <v>155</v>
      </c>
      <c r="D42" t="s">
        <v>73</v>
      </c>
      <c r="E42" t="s">
        <v>80</v>
      </c>
      <c r="F42" t="s">
        <v>100</v>
      </c>
      <c r="G42" t="str">
        <f t="shared" si="0"/>
        <v xml:space="preserve"> G9 </v>
      </c>
      <c r="H42" s="1" t="str">
        <f t="shared" si="1"/>
        <v xml:space="preserve">Ulrik Kjærgaard </v>
      </c>
      <c r="I42" s="1" t="str">
        <f t="shared" si="2"/>
        <v>Hoanh Vinh</v>
      </c>
      <c r="J42" s="56" t="s">
        <v>185</v>
      </c>
    </row>
    <row r="43" spans="1:10" x14ac:dyDescent="0.25">
      <c r="A43" s="3">
        <v>0.64583333333333337</v>
      </c>
      <c r="B43" t="s">
        <v>96</v>
      </c>
      <c r="C43" s="37" t="s">
        <v>158</v>
      </c>
      <c r="D43" t="s">
        <v>73</v>
      </c>
      <c r="E43" t="s">
        <v>97</v>
      </c>
      <c r="F43" t="s">
        <v>106</v>
      </c>
      <c r="G43" t="str">
        <f t="shared" si="0"/>
        <v xml:space="preserve"> G9 </v>
      </c>
      <c r="H43" s="1" t="str">
        <f t="shared" si="1"/>
        <v xml:space="preserve">Ulrik Kjærgaard </v>
      </c>
      <c r="I43" s="1" t="str">
        <f t="shared" si="2"/>
        <v>Hoanh Vinh</v>
      </c>
      <c r="J43" s="56" t="s">
        <v>185</v>
      </c>
    </row>
    <row r="44" spans="1:10" x14ac:dyDescent="0.25">
      <c r="A44" s="3">
        <v>0.66319444444444442</v>
      </c>
      <c r="B44" t="s">
        <v>96</v>
      </c>
      <c r="C44" s="37" t="s">
        <v>161</v>
      </c>
      <c r="D44" t="s">
        <v>73</v>
      </c>
      <c r="E44" t="s">
        <v>101</v>
      </c>
      <c r="F44" t="s">
        <v>83</v>
      </c>
      <c r="G44" t="str">
        <f t="shared" si="0"/>
        <v xml:space="preserve"> G9 </v>
      </c>
      <c r="H44" s="1" t="str">
        <f t="shared" si="1"/>
        <v xml:space="preserve">Ingeborg Morberg </v>
      </c>
      <c r="I44" s="1" t="str">
        <f t="shared" si="2"/>
        <v>Maya W Solberg</v>
      </c>
      <c r="J44" s="56" t="s">
        <v>186</v>
      </c>
    </row>
    <row r="45" spans="1:10" x14ac:dyDescent="0.25">
      <c r="A45" s="3">
        <v>0.68055555555555547</v>
      </c>
      <c r="B45" t="s">
        <v>96</v>
      </c>
      <c r="C45" s="37" t="s">
        <v>164</v>
      </c>
      <c r="D45" t="s">
        <v>73</v>
      </c>
      <c r="E45" t="s">
        <v>100</v>
      </c>
      <c r="F45" t="s">
        <v>71</v>
      </c>
      <c r="G45" t="str">
        <f t="shared" si="0"/>
        <v xml:space="preserve"> G9 </v>
      </c>
      <c r="H45" s="1" t="str">
        <f t="shared" si="1"/>
        <v xml:space="preserve">Ingeborg Morberg </v>
      </c>
      <c r="I45" s="1" t="str">
        <f t="shared" si="2"/>
        <v>Maya W Solberg</v>
      </c>
      <c r="J45" s="56" t="s">
        <v>186</v>
      </c>
    </row>
    <row r="46" spans="1:10" x14ac:dyDescent="0.25">
      <c r="A46" s="53">
        <v>0.69791666666666663</v>
      </c>
      <c r="B46" s="1" t="s">
        <v>96</v>
      </c>
      <c r="C46" s="35" t="s">
        <v>167</v>
      </c>
      <c r="D46" s="1" t="s">
        <v>73</v>
      </c>
      <c r="E46" s="1" t="s">
        <v>83</v>
      </c>
      <c r="F46" s="1" t="s">
        <v>80</v>
      </c>
      <c r="G46" t="str">
        <f t="shared" si="0"/>
        <v xml:space="preserve"> G9 </v>
      </c>
      <c r="H46" s="1" t="str">
        <f t="shared" si="1"/>
        <v xml:space="preserve">Celine Kjær Molvig </v>
      </c>
      <c r="I46" s="1" t="str">
        <f t="shared" si="2"/>
        <v>Vinos Ismail</v>
      </c>
      <c r="J46" s="56" t="s">
        <v>184</v>
      </c>
    </row>
    <row r="47" spans="1:10" x14ac:dyDescent="0.25">
      <c r="A47" s="53">
        <v>0.72569444444444453</v>
      </c>
      <c r="B47" s="1" t="s">
        <v>96</v>
      </c>
      <c r="C47" s="35" t="s">
        <v>170</v>
      </c>
      <c r="D47" s="1" t="s">
        <v>73</v>
      </c>
      <c r="E47" s="1" t="s">
        <v>106</v>
      </c>
      <c r="F47" s="1" t="s">
        <v>101</v>
      </c>
      <c r="G47" t="str">
        <f t="shared" si="0"/>
        <v xml:space="preserve"> G9 </v>
      </c>
      <c r="H47" s="1" t="str">
        <f t="shared" si="1"/>
        <v xml:space="preserve">Celine Kjær Molvig </v>
      </c>
      <c r="I47" s="1" t="str">
        <f t="shared" si="2"/>
        <v>Vinos Ismail</v>
      </c>
      <c r="J47" s="56" t="s">
        <v>184</v>
      </c>
    </row>
    <row r="48" spans="1:10" x14ac:dyDescent="0.25">
      <c r="A48" s="53">
        <v>0.74305555555555547</v>
      </c>
      <c r="B48" s="1" t="s">
        <v>96</v>
      </c>
      <c r="C48" s="35" t="s">
        <v>173</v>
      </c>
      <c r="D48" s="1" t="s">
        <v>73</v>
      </c>
      <c r="E48" s="1" t="s">
        <v>97</v>
      </c>
      <c r="F48" s="1" t="s">
        <v>71</v>
      </c>
      <c r="G48" t="str">
        <f t="shared" si="0"/>
        <v xml:space="preserve"> G9 </v>
      </c>
      <c r="H48" s="1" t="str">
        <f t="shared" si="1"/>
        <v xml:space="preserve">Ingeborg Morberg </v>
      </c>
      <c r="I48" s="1" t="str">
        <f t="shared" si="2"/>
        <v>Maya W Solberg</v>
      </c>
      <c r="J48" s="56" t="s">
        <v>186</v>
      </c>
    </row>
    <row r="49" spans="1:10" x14ac:dyDescent="0.25">
      <c r="A49" s="53">
        <v>0.76041666666666663</v>
      </c>
      <c r="B49" s="1" t="s">
        <v>96</v>
      </c>
      <c r="C49" s="35" t="s">
        <v>176</v>
      </c>
      <c r="D49" s="1" t="s">
        <v>73</v>
      </c>
      <c r="E49" s="1" t="s">
        <v>101</v>
      </c>
      <c r="F49" s="1" t="s">
        <v>80</v>
      </c>
      <c r="G49" t="str">
        <f t="shared" si="0"/>
        <v xml:space="preserve"> G9 </v>
      </c>
      <c r="H49" s="1" t="str">
        <f t="shared" si="1"/>
        <v xml:space="preserve">Ingeborg Morberg </v>
      </c>
      <c r="I49" s="1" t="str">
        <f t="shared" si="2"/>
        <v>Maya W Solberg</v>
      </c>
      <c r="J49" s="56" t="s">
        <v>186</v>
      </c>
    </row>
    <row r="50" spans="1:10" x14ac:dyDescent="0.25">
      <c r="A50" s="3">
        <v>0.375</v>
      </c>
      <c r="B50" t="s">
        <v>76</v>
      </c>
      <c r="C50" s="37" t="s">
        <v>115</v>
      </c>
      <c r="D50" t="s">
        <v>77</v>
      </c>
      <c r="E50" t="s">
        <v>78</v>
      </c>
      <c r="F50" t="s">
        <v>79</v>
      </c>
      <c r="G50" t="str">
        <f t="shared" si="0"/>
        <v xml:space="preserve"> G9 </v>
      </c>
      <c r="H50" s="1" t="str">
        <f t="shared" si="1"/>
        <v xml:space="preserve">Ingeborg Morberg </v>
      </c>
      <c r="I50" s="1" t="str">
        <f t="shared" si="2"/>
        <v>Maya W Solberg</v>
      </c>
      <c r="J50" s="56" t="s">
        <v>186</v>
      </c>
    </row>
    <row r="51" spans="1:10" x14ac:dyDescent="0.25">
      <c r="A51" s="3">
        <v>0.3923611111111111</v>
      </c>
      <c r="B51" t="s">
        <v>76</v>
      </c>
      <c r="C51" s="37" t="s">
        <v>118</v>
      </c>
      <c r="D51" t="s">
        <v>77</v>
      </c>
      <c r="E51" t="s">
        <v>84</v>
      </c>
      <c r="F51" t="s">
        <v>85</v>
      </c>
      <c r="G51" t="str">
        <f t="shared" si="0"/>
        <v xml:space="preserve"> G9 </v>
      </c>
      <c r="H51" s="1" t="str">
        <f t="shared" si="1"/>
        <v xml:space="preserve">Ulrik Kjærgaard </v>
      </c>
      <c r="I51" s="1" t="str">
        <f t="shared" si="2"/>
        <v>Hoanh Vinh</v>
      </c>
      <c r="J51" s="57" t="s">
        <v>185</v>
      </c>
    </row>
    <row r="52" spans="1:10" x14ac:dyDescent="0.25">
      <c r="A52" s="3">
        <v>0.40972222222222227</v>
      </c>
      <c r="B52" t="s">
        <v>76</v>
      </c>
      <c r="C52" s="37" t="s">
        <v>121</v>
      </c>
      <c r="D52" t="s">
        <v>77</v>
      </c>
      <c r="E52" t="s">
        <v>90</v>
      </c>
      <c r="F52" t="s">
        <v>91</v>
      </c>
      <c r="G52" t="str">
        <f t="shared" si="0"/>
        <v xml:space="preserve"> G9 </v>
      </c>
      <c r="H52" s="1" t="str">
        <f t="shared" si="1"/>
        <v xml:space="preserve">Ulrik Kjærgaard </v>
      </c>
      <c r="I52" s="1" t="str">
        <f t="shared" si="2"/>
        <v>Hoanh Vinh</v>
      </c>
      <c r="J52" s="57" t="s">
        <v>185</v>
      </c>
    </row>
    <row r="53" spans="1:10" x14ac:dyDescent="0.25">
      <c r="A53" s="3">
        <v>0.42708333333333331</v>
      </c>
      <c r="B53" t="s">
        <v>76</v>
      </c>
      <c r="C53" s="37" t="s">
        <v>124</v>
      </c>
      <c r="D53" t="s">
        <v>77</v>
      </c>
      <c r="E53" t="s">
        <v>94</v>
      </c>
      <c r="F53" t="s">
        <v>95</v>
      </c>
      <c r="G53" t="str">
        <f t="shared" si="0"/>
        <v xml:space="preserve"> G9 </v>
      </c>
      <c r="H53" s="1" t="str">
        <f t="shared" si="1"/>
        <v xml:space="preserve">Ulrik Kjærgaard </v>
      </c>
      <c r="I53" s="1" t="str">
        <f t="shared" si="2"/>
        <v>Hoanh Vinh</v>
      </c>
      <c r="J53" s="57" t="s">
        <v>185</v>
      </c>
    </row>
    <row r="54" spans="1:10" x14ac:dyDescent="0.25">
      <c r="A54" s="3">
        <v>0.44444444444444442</v>
      </c>
      <c r="B54" t="s">
        <v>76</v>
      </c>
      <c r="C54" s="37" t="s">
        <v>127</v>
      </c>
      <c r="D54" t="s">
        <v>77</v>
      </c>
      <c r="E54" t="s">
        <v>78</v>
      </c>
      <c r="F54" t="s">
        <v>85</v>
      </c>
      <c r="G54" t="str">
        <f t="shared" si="0"/>
        <v xml:space="preserve"> G9 </v>
      </c>
      <c r="H54" s="1" t="str">
        <f t="shared" si="1"/>
        <v xml:space="preserve">Henriette O Foyn </v>
      </c>
      <c r="I54" s="1" t="str">
        <f t="shared" si="2"/>
        <v>Lotte Bettum</v>
      </c>
      <c r="J54" s="57" t="s">
        <v>189</v>
      </c>
    </row>
    <row r="55" spans="1:10" x14ac:dyDescent="0.25">
      <c r="A55" s="3">
        <v>0.46180555555555558</v>
      </c>
      <c r="B55" t="s">
        <v>76</v>
      </c>
      <c r="C55" s="37" t="s">
        <v>130</v>
      </c>
      <c r="D55" t="s">
        <v>77</v>
      </c>
      <c r="E55" t="s">
        <v>79</v>
      </c>
      <c r="F55" t="s">
        <v>84</v>
      </c>
      <c r="G55" t="str">
        <f t="shared" si="0"/>
        <v xml:space="preserve"> G9 </v>
      </c>
      <c r="H55" s="1" t="str">
        <f t="shared" si="1"/>
        <v xml:space="preserve">Henriette O Foyn </v>
      </c>
      <c r="I55" s="1" t="str">
        <f t="shared" si="2"/>
        <v>Lotte Bettum</v>
      </c>
      <c r="J55" s="57" t="s">
        <v>189</v>
      </c>
    </row>
    <row r="56" spans="1:10" x14ac:dyDescent="0.25">
      <c r="A56" s="3">
        <v>0.47916666666666669</v>
      </c>
      <c r="B56" t="s">
        <v>76</v>
      </c>
      <c r="C56" s="37" t="s">
        <v>133</v>
      </c>
      <c r="D56" t="s">
        <v>77</v>
      </c>
      <c r="E56" t="s">
        <v>95</v>
      </c>
      <c r="F56" t="s">
        <v>90</v>
      </c>
      <c r="G56" t="str">
        <f t="shared" si="0"/>
        <v xml:space="preserve"> G9 </v>
      </c>
      <c r="H56" s="1" t="str">
        <f t="shared" si="1"/>
        <v xml:space="preserve">Selma Henriksen </v>
      </c>
      <c r="I56" s="1" t="str">
        <f t="shared" si="2"/>
        <v>Henriette O Foyn</v>
      </c>
      <c r="J56" s="57" t="s">
        <v>190</v>
      </c>
    </row>
    <row r="57" spans="1:10" x14ac:dyDescent="0.25">
      <c r="A57" s="3">
        <v>0.50694444444444442</v>
      </c>
      <c r="B57" t="s">
        <v>76</v>
      </c>
      <c r="C57" s="37" t="s">
        <v>136</v>
      </c>
      <c r="D57" t="s">
        <v>77</v>
      </c>
      <c r="E57" t="s">
        <v>91</v>
      </c>
      <c r="F57" t="s">
        <v>94</v>
      </c>
      <c r="G57" t="str">
        <f t="shared" si="0"/>
        <v xml:space="preserve"> G9 </v>
      </c>
      <c r="H57" s="1" t="str">
        <f t="shared" si="1"/>
        <v xml:space="preserve">Selma Henriksen </v>
      </c>
      <c r="I57" s="1" t="str">
        <f t="shared" si="2"/>
        <v>Henriette O Foyn</v>
      </c>
      <c r="J57" s="57" t="s">
        <v>190</v>
      </c>
    </row>
    <row r="58" spans="1:10" x14ac:dyDescent="0.25">
      <c r="A58" s="3">
        <v>0.52430555555555558</v>
      </c>
      <c r="B58" t="s">
        <v>76</v>
      </c>
      <c r="C58" s="37" t="s">
        <v>139</v>
      </c>
      <c r="D58" t="s">
        <v>77</v>
      </c>
      <c r="E58" t="s">
        <v>85</v>
      </c>
      <c r="F58" t="s">
        <v>79</v>
      </c>
      <c r="G58" t="str">
        <f t="shared" si="0"/>
        <v xml:space="preserve"> G9 </v>
      </c>
      <c r="H58" s="1" t="str">
        <f t="shared" si="1"/>
        <v xml:space="preserve">Lotte Bettum </v>
      </c>
      <c r="I58" s="1" t="str">
        <f t="shared" si="2"/>
        <v>Selma Henriksen</v>
      </c>
      <c r="J58" s="57" t="s">
        <v>191</v>
      </c>
    </row>
    <row r="59" spans="1:10" ht="15.75" thickBot="1" x14ac:dyDescent="0.3">
      <c r="A59" s="4">
        <v>0.54166666666666663</v>
      </c>
      <c r="B59" t="s">
        <v>76</v>
      </c>
      <c r="C59" s="37" t="s">
        <v>142</v>
      </c>
      <c r="D59" t="s">
        <v>77</v>
      </c>
      <c r="E59" t="s">
        <v>84</v>
      </c>
      <c r="F59" t="s">
        <v>78</v>
      </c>
      <c r="G59" t="str">
        <f t="shared" si="0"/>
        <v xml:space="preserve"> G9 </v>
      </c>
      <c r="H59" s="1" t="str">
        <f t="shared" si="1"/>
        <v xml:space="preserve">Lotte Bettum </v>
      </c>
      <c r="I59" s="1" t="str">
        <f t="shared" si="2"/>
        <v>Selma Henriksen</v>
      </c>
      <c r="J59" s="57" t="s">
        <v>191</v>
      </c>
    </row>
    <row r="60" spans="1:10" x14ac:dyDescent="0.25">
      <c r="A60" s="54">
        <v>0.55902777777777779</v>
      </c>
      <c r="B60" t="s">
        <v>76</v>
      </c>
      <c r="C60" s="37" t="s">
        <v>145</v>
      </c>
      <c r="D60" t="s">
        <v>77</v>
      </c>
      <c r="E60" t="s">
        <v>91</v>
      </c>
      <c r="F60" t="s">
        <v>95</v>
      </c>
      <c r="G60" t="str">
        <f t="shared" si="0"/>
        <v xml:space="preserve"> G9 </v>
      </c>
      <c r="H60" s="1" t="str">
        <f t="shared" si="1"/>
        <v xml:space="preserve">Ulrik Kjærgaard </v>
      </c>
      <c r="I60" s="1" t="str">
        <f t="shared" si="2"/>
        <v>Hoanh Vinh</v>
      </c>
      <c r="J60" s="57" t="s">
        <v>185</v>
      </c>
    </row>
    <row r="61" spans="1:10" x14ac:dyDescent="0.25">
      <c r="A61" s="54">
        <v>0.57638888888888895</v>
      </c>
      <c r="B61" t="s">
        <v>76</v>
      </c>
      <c r="C61" s="37" t="s">
        <v>146</v>
      </c>
      <c r="D61" t="s">
        <v>77</v>
      </c>
      <c r="E61" t="s">
        <v>94</v>
      </c>
      <c r="F61" t="s">
        <v>90</v>
      </c>
      <c r="G61" t="str">
        <f t="shared" si="0"/>
        <v xml:space="preserve"> G9 </v>
      </c>
      <c r="H61" s="1" t="str">
        <f t="shared" si="1"/>
        <v xml:space="preserve">Ulrik Kjærgaard </v>
      </c>
      <c r="I61" s="1" t="str">
        <f t="shared" si="2"/>
        <v>Hoanh Vinh</v>
      </c>
      <c r="J61" s="57" t="s">
        <v>185</v>
      </c>
    </row>
    <row r="62" spans="1:10" x14ac:dyDescent="0.25">
      <c r="A62" s="54">
        <v>0.59375</v>
      </c>
      <c r="B62" t="s">
        <v>102</v>
      </c>
      <c r="C62" s="37" t="s">
        <v>150</v>
      </c>
      <c r="D62" t="s">
        <v>77</v>
      </c>
      <c r="E62" t="s">
        <v>103</v>
      </c>
      <c r="F62" t="s">
        <v>104</v>
      </c>
      <c r="G62" t="str">
        <f t="shared" si="0"/>
        <v xml:space="preserve"> G9 </v>
      </c>
      <c r="H62" s="1" t="str">
        <f t="shared" si="1"/>
        <v xml:space="preserve">Henriette O Foyn </v>
      </c>
      <c r="I62" s="1" t="str">
        <f t="shared" si="2"/>
        <v>Lotte Bettum</v>
      </c>
      <c r="J62" s="57" t="s">
        <v>189</v>
      </c>
    </row>
    <row r="63" spans="1:10" x14ac:dyDescent="0.25">
      <c r="A63" s="54">
        <v>0.61111111111111105</v>
      </c>
      <c r="B63" t="s">
        <v>102</v>
      </c>
      <c r="C63" s="37" t="s">
        <v>153</v>
      </c>
      <c r="D63" t="s">
        <v>77</v>
      </c>
      <c r="E63" t="s">
        <v>107</v>
      </c>
      <c r="F63" t="s">
        <v>105</v>
      </c>
      <c r="G63" t="str">
        <f t="shared" si="0"/>
        <v xml:space="preserve"> G9 </v>
      </c>
      <c r="H63" s="1" t="str">
        <f t="shared" si="1"/>
        <v xml:space="preserve">Henriette O Foyn </v>
      </c>
      <c r="I63" s="1" t="str">
        <f t="shared" si="2"/>
        <v>Lotte Bettum</v>
      </c>
      <c r="J63" s="57" t="s">
        <v>189</v>
      </c>
    </row>
    <row r="64" spans="1:10" x14ac:dyDescent="0.25">
      <c r="A64" s="54">
        <v>0.62847222222222221</v>
      </c>
      <c r="B64" t="s">
        <v>102</v>
      </c>
      <c r="C64" s="37" t="s">
        <v>156</v>
      </c>
      <c r="D64" t="s">
        <v>77</v>
      </c>
      <c r="E64" t="s">
        <v>109</v>
      </c>
      <c r="F64" t="s">
        <v>110</v>
      </c>
      <c r="G64" t="str">
        <f t="shared" si="0"/>
        <v xml:space="preserve"> G9 </v>
      </c>
      <c r="H64" s="1" t="str">
        <f t="shared" si="1"/>
        <v xml:space="preserve">Selma Henriksen </v>
      </c>
      <c r="I64" s="1" t="str">
        <f t="shared" si="2"/>
        <v>Henriette O Foyn</v>
      </c>
      <c r="J64" s="57" t="s">
        <v>190</v>
      </c>
    </row>
    <row r="65" spans="1:10" x14ac:dyDescent="0.25">
      <c r="A65" s="54">
        <v>0.64583333333333337</v>
      </c>
      <c r="B65" t="s">
        <v>102</v>
      </c>
      <c r="C65" s="37" t="s">
        <v>159</v>
      </c>
      <c r="D65" t="s">
        <v>77</v>
      </c>
      <c r="E65" t="s">
        <v>112</v>
      </c>
      <c r="F65" t="s">
        <v>107</v>
      </c>
      <c r="G65" t="str">
        <f t="shared" si="0"/>
        <v xml:space="preserve"> G9 </v>
      </c>
      <c r="H65" s="1" t="str">
        <f t="shared" si="1"/>
        <v xml:space="preserve">Selma Henriksen </v>
      </c>
      <c r="I65" s="1" t="str">
        <f t="shared" si="2"/>
        <v>Henriette O Foyn</v>
      </c>
      <c r="J65" s="57" t="s">
        <v>190</v>
      </c>
    </row>
    <row r="66" spans="1:10" x14ac:dyDescent="0.25">
      <c r="A66" s="54">
        <v>0.66319444444444442</v>
      </c>
      <c r="B66" t="s">
        <v>102</v>
      </c>
      <c r="C66" s="37" t="s">
        <v>162</v>
      </c>
      <c r="D66" t="s">
        <v>77</v>
      </c>
      <c r="E66" t="s">
        <v>104</v>
      </c>
      <c r="F66" t="s">
        <v>109</v>
      </c>
      <c r="G66" t="str">
        <f t="shared" si="0"/>
        <v xml:space="preserve"> G9 </v>
      </c>
      <c r="H66" s="1" t="str">
        <f t="shared" si="1"/>
        <v xml:space="preserve">Lotte Bettum </v>
      </c>
      <c r="I66" s="1" t="str">
        <f t="shared" si="2"/>
        <v>Selma Henriksen</v>
      </c>
      <c r="J66" s="57" t="s">
        <v>191</v>
      </c>
    </row>
    <row r="67" spans="1:10" x14ac:dyDescent="0.25">
      <c r="A67" s="54">
        <v>0.68055555555555547</v>
      </c>
      <c r="B67" t="s">
        <v>102</v>
      </c>
      <c r="C67" s="37" t="s">
        <v>165</v>
      </c>
      <c r="D67" t="s">
        <v>77</v>
      </c>
      <c r="E67" t="s">
        <v>105</v>
      </c>
      <c r="F67" t="s">
        <v>103</v>
      </c>
      <c r="G67" t="str">
        <f t="shared" si="0"/>
        <v xml:space="preserve"> G9 </v>
      </c>
      <c r="H67" s="1" t="str">
        <f t="shared" si="1"/>
        <v xml:space="preserve">Lotte Bettum </v>
      </c>
      <c r="I67" s="1" t="str">
        <f t="shared" si="2"/>
        <v>Selma Henriksen</v>
      </c>
      <c r="J67" s="57" t="s">
        <v>191</v>
      </c>
    </row>
    <row r="68" spans="1:10" x14ac:dyDescent="0.25">
      <c r="A68" s="40">
        <v>0.69791666666666663</v>
      </c>
      <c r="B68" s="1" t="s">
        <v>102</v>
      </c>
      <c r="C68" s="35" t="s">
        <v>168</v>
      </c>
      <c r="D68" s="1" t="s">
        <v>77</v>
      </c>
      <c r="E68" s="1" t="s">
        <v>107</v>
      </c>
      <c r="F68" s="1" t="s">
        <v>110</v>
      </c>
      <c r="G68" t="str">
        <f t="shared" si="0"/>
        <v xml:space="preserve"> G9 </v>
      </c>
      <c r="H68" s="1" t="str">
        <f t="shared" si="1"/>
        <v xml:space="preserve">Henriette O Foyn </v>
      </c>
      <c r="I68" s="1" t="str">
        <f t="shared" si="2"/>
        <v>Lotte Bettum</v>
      </c>
      <c r="J68" s="57" t="s">
        <v>189</v>
      </c>
    </row>
    <row r="69" spans="1:10" x14ac:dyDescent="0.25">
      <c r="A69" s="40">
        <v>0.72569444444444453</v>
      </c>
      <c r="B69" s="1" t="s">
        <v>102</v>
      </c>
      <c r="C69" s="35" t="s">
        <v>171</v>
      </c>
      <c r="D69" s="1" t="s">
        <v>77</v>
      </c>
      <c r="E69" s="1" t="s">
        <v>103</v>
      </c>
      <c r="F69" s="1" t="s">
        <v>112</v>
      </c>
      <c r="G69" t="str">
        <f t="shared" si="0"/>
        <v xml:space="preserve"> G9 </v>
      </c>
      <c r="H69" s="1" t="str">
        <f t="shared" si="1"/>
        <v xml:space="preserve">Henriette O Foyn </v>
      </c>
      <c r="I69" s="1" t="str">
        <f t="shared" si="2"/>
        <v>Lotte Bettum</v>
      </c>
      <c r="J69" s="57" t="s">
        <v>189</v>
      </c>
    </row>
    <row r="70" spans="1:10" x14ac:dyDescent="0.25">
      <c r="A70" s="40">
        <v>0.74305555555555547</v>
      </c>
      <c r="B70" s="1" t="s">
        <v>102</v>
      </c>
      <c r="C70" s="35" t="s">
        <v>174</v>
      </c>
      <c r="D70" s="1" t="s">
        <v>77</v>
      </c>
      <c r="E70" s="1" t="s">
        <v>109</v>
      </c>
      <c r="F70" s="1" t="s">
        <v>105</v>
      </c>
      <c r="G70" t="str">
        <f t="shared" si="0"/>
        <v xml:space="preserve"> G9 </v>
      </c>
      <c r="H70" s="1" t="str">
        <f t="shared" si="1"/>
        <v xml:space="preserve">Selma Henriksen </v>
      </c>
      <c r="I70" s="1" t="str">
        <f t="shared" si="2"/>
        <v>Henriette O Foyn</v>
      </c>
      <c r="J70" s="57" t="s">
        <v>190</v>
      </c>
    </row>
    <row r="71" spans="1:10" x14ac:dyDescent="0.25">
      <c r="A71" s="40">
        <v>0.76041666666666663</v>
      </c>
      <c r="B71" s="1" t="s">
        <v>102</v>
      </c>
      <c r="C71" s="35" t="s">
        <v>177</v>
      </c>
      <c r="D71" s="1" t="s">
        <v>77</v>
      </c>
      <c r="E71" s="1" t="s">
        <v>104</v>
      </c>
      <c r="F71" s="1" t="s">
        <v>110</v>
      </c>
      <c r="G71" t="str">
        <f t="shared" ref="G71:G72" si="3">MID(B71,FIND(" ",B71,1),4)</f>
        <v xml:space="preserve"> G9 </v>
      </c>
      <c r="H71" s="1" t="str">
        <f t="shared" ref="H71:H73" si="4">IFERROR(LEFT(J71,FIND(" og ",J71,1)),J71)</f>
        <v xml:space="preserve">Selma Henriksen </v>
      </c>
      <c r="I71" s="1" t="str">
        <f t="shared" ref="I71:I73" si="5">IFERROR(RIGHT(J71,LEN(J71) - FIND(" og ",J71,1) - 3),"")</f>
        <v>Henriette O Foyn</v>
      </c>
      <c r="J71" s="57" t="s">
        <v>190</v>
      </c>
    </row>
    <row r="72" spans="1:10" x14ac:dyDescent="0.25">
      <c r="A72" s="40">
        <v>0.77777777777777779</v>
      </c>
      <c r="B72" s="1" t="s">
        <v>102</v>
      </c>
      <c r="C72" s="35" t="s">
        <v>179</v>
      </c>
      <c r="D72" s="1" t="s">
        <v>77</v>
      </c>
      <c r="E72" s="1" t="s">
        <v>105</v>
      </c>
      <c r="F72" s="1" t="s">
        <v>112</v>
      </c>
      <c r="G72" t="str">
        <f t="shared" si="3"/>
        <v xml:space="preserve"> G9 </v>
      </c>
      <c r="H72" s="1" t="str">
        <f t="shared" si="4"/>
        <v xml:space="preserve">Lotte Bettum </v>
      </c>
      <c r="I72" s="1" t="str">
        <f t="shared" si="5"/>
        <v>Selma Henriksen</v>
      </c>
      <c r="J72" s="57" t="s">
        <v>191</v>
      </c>
    </row>
    <row r="73" spans="1:10" x14ac:dyDescent="0.25">
      <c r="A73" s="40"/>
      <c r="G73"/>
      <c r="J73" s="57"/>
    </row>
    <row r="74" spans="1:10" x14ac:dyDescent="0.25">
      <c r="A74" s="41"/>
      <c r="J74" s="49"/>
    </row>
    <row r="75" spans="1:10" x14ac:dyDescent="0.25">
      <c r="A75" s="41"/>
      <c r="J75" s="49"/>
    </row>
    <row r="76" spans="1:10" x14ac:dyDescent="0.25">
      <c r="A76" s="41"/>
      <c r="J76" s="49"/>
    </row>
    <row r="77" spans="1:10" x14ac:dyDescent="0.25">
      <c r="A77" s="41"/>
      <c r="J77" s="49"/>
    </row>
    <row r="78" spans="1:10" x14ac:dyDescent="0.25">
      <c r="A78" s="41"/>
    </row>
    <row r="79" spans="1:10" x14ac:dyDescent="0.25">
      <c r="A79" s="41"/>
    </row>
    <row r="80" spans="1:10" x14ac:dyDescent="0.25">
      <c r="A80" s="41"/>
    </row>
    <row r="81" spans="1:1" x14ac:dyDescent="0.25">
      <c r="A81" s="41"/>
    </row>
    <row r="82" spans="1:1" x14ac:dyDescent="0.25">
      <c r="A82" s="41"/>
    </row>
    <row r="83" spans="1:1" x14ac:dyDescent="0.25">
      <c r="A83" s="41"/>
    </row>
    <row r="84" spans="1:1" x14ac:dyDescent="0.25">
      <c r="A84" s="41"/>
    </row>
    <row r="85" spans="1:1" x14ac:dyDescent="0.25">
      <c r="A85" s="41"/>
    </row>
    <row r="86" spans="1:1" x14ac:dyDescent="0.25">
      <c r="A86" s="41"/>
    </row>
    <row r="87" spans="1:1" x14ac:dyDescent="0.25">
      <c r="A87" s="41"/>
    </row>
    <row r="88" spans="1:1" x14ac:dyDescent="0.25">
      <c r="A88" s="41"/>
    </row>
    <row r="89" spans="1:1" x14ac:dyDescent="0.25">
      <c r="A89" s="41"/>
    </row>
    <row r="90" spans="1:1" x14ac:dyDescent="0.25">
      <c r="A90" s="41"/>
    </row>
    <row r="91" spans="1:1" x14ac:dyDescent="0.25">
      <c r="A91" s="41"/>
    </row>
    <row r="92" spans="1:1" x14ac:dyDescent="0.25">
      <c r="A92" s="41"/>
    </row>
    <row r="93" spans="1:1" x14ac:dyDescent="0.25">
      <c r="A93" s="41"/>
    </row>
    <row r="94" spans="1:1" x14ac:dyDescent="0.25">
      <c r="A94" s="41"/>
    </row>
    <row r="95" spans="1:1" x14ac:dyDescent="0.25">
      <c r="A95" s="41"/>
    </row>
    <row r="96" spans="1:1" x14ac:dyDescent="0.25">
      <c r="A96" s="41"/>
    </row>
    <row r="97" spans="1:1" x14ac:dyDescent="0.25">
      <c r="A97" s="41"/>
    </row>
    <row r="98" spans="1:1" x14ac:dyDescent="0.25">
      <c r="A98" s="41"/>
    </row>
    <row r="99" spans="1:1" x14ac:dyDescent="0.25">
      <c r="A99" s="41"/>
    </row>
    <row r="100" spans="1:1" x14ac:dyDescent="0.25">
      <c r="A100" s="41"/>
    </row>
  </sheetData>
  <sortState ref="A7:F72">
    <sortCondition ref="D6:D72"/>
    <sortCondition ref="A6:A72"/>
  </sortState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erBanedagbok">
                <anchor moveWithCells="1" sizeWithCells="1">
                  <from>
                    <xdr:col>8</xdr:col>
                    <xdr:colOff>1962150</xdr:colOff>
                    <xdr:row>0</xdr:row>
                    <xdr:rowOff>152400</xdr:rowOff>
                  </from>
                  <to>
                    <xdr:col>10</xdr:col>
                    <xdr:colOff>19050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Sheets">
                <anchor moveWithCells="1" sizeWithCells="1">
                  <from>
                    <xdr:col>8</xdr:col>
                    <xdr:colOff>1971675</xdr:colOff>
                    <xdr:row>2</xdr:row>
                    <xdr:rowOff>66675</xdr:rowOff>
                  </from>
                  <to>
                    <xdr:col>10</xdr:col>
                    <xdr:colOff>9525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OppdaterKlasse">
                <anchor moveWithCells="1" sizeWithCells="1">
                  <from>
                    <xdr:col>6</xdr:col>
                    <xdr:colOff>0</xdr:colOff>
                    <xdr:row>2</xdr:row>
                    <xdr:rowOff>38100</xdr:rowOff>
                  </from>
                  <to>
                    <xdr:col>6</xdr:col>
                    <xdr:colOff>1057275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plittDommerpar">
                <anchor moveWithCells="1" sizeWithCells="1">
                  <from>
                    <xdr:col>7</xdr:col>
                    <xdr:colOff>209550</xdr:colOff>
                    <xdr:row>2</xdr:row>
                    <xdr:rowOff>9525</xdr:rowOff>
                  </from>
                  <to>
                    <xdr:col>8</xdr:col>
                    <xdr:colOff>1724025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SorterPaaBane">
                <anchor moveWithCells="1" sizeWithCells="1">
                  <from>
                    <xdr:col>7</xdr:col>
                    <xdr:colOff>200025</xdr:colOff>
                    <xdr:row>0</xdr:row>
                    <xdr:rowOff>142875</xdr:rowOff>
                  </from>
                  <to>
                    <xdr:col>8</xdr:col>
                    <xdr:colOff>1704975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I23"/>
  <sheetViews>
    <sheetView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51" t="s">
        <v>11</v>
      </c>
      <c r="B1" s="51"/>
      <c r="C1" s="51"/>
      <c r="D1" s="51"/>
      <c r="E1" s="51"/>
      <c r="F1" s="51"/>
      <c r="G1" s="51"/>
      <c r="H1" s="51"/>
      <c r="I1" s="51"/>
    </row>
    <row r="2" spans="1:9" ht="9" customHeight="1" x14ac:dyDescent="0.25">
      <c r="A2" s="6"/>
      <c r="B2" s="7"/>
      <c r="C2" s="7"/>
      <c r="D2" s="7"/>
      <c r="E2" s="7"/>
      <c r="F2" s="7"/>
      <c r="G2" s="7"/>
      <c r="H2" s="7"/>
      <c r="I2" s="7"/>
    </row>
    <row r="3" spans="1:9" ht="18.75" x14ac:dyDescent="0.3">
      <c r="A3" s="8" t="s">
        <v>22</v>
      </c>
      <c r="B3" s="9"/>
      <c r="C3" s="9" t="s">
        <v>19</v>
      </c>
      <c r="D3" s="9"/>
      <c r="E3" s="9" t="s">
        <v>20</v>
      </c>
      <c r="F3" s="10"/>
      <c r="G3" s="10"/>
      <c r="H3" s="9" t="s">
        <v>21</v>
      </c>
      <c r="I3" s="11"/>
    </row>
    <row r="4" spans="1:9" ht="11.25" customHeight="1" thickBot="1" x14ac:dyDescent="0.3">
      <c r="A4" s="6"/>
      <c r="B4" s="7"/>
      <c r="C4" s="7"/>
      <c r="D4" s="7"/>
      <c r="E4" s="7"/>
      <c r="F4" s="7"/>
      <c r="G4" s="7"/>
      <c r="H4" s="7"/>
      <c r="I4" s="7"/>
    </row>
    <row r="5" spans="1:9" ht="16.5" thickBot="1" x14ac:dyDescent="0.3">
      <c r="A5" s="12" t="s">
        <v>0</v>
      </c>
      <c r="B5" s="13" t="s">
        <v>4</v>
      </c>
      <c r="C5" s="14" t="s">
        <v>5</v>
      </c>
      <c r="D5" s="15" t="s">
        <v>12</v>
      </c>
      <c r="E5" s="16" t="s">
        <v>13</v>
      </c>
      <c r="F5" s="13" t="s">
        <v>14</v>
      </c>
      <c r="G5" s="14" t="s">
        <v>14</v>
      </c>
      <c r="H5" s="15" t="s">
        <v>6</v>
      </c>
      <c r="I5" s="14" t="s">
        <v>7</v>
      </c>
    </row>
    <row r="6" spans="1:9" ht="33" customHeight="1" x14ac:dyDescent="0.25">
      <c r="A6" s="17"/>
      <c r="B6" s="18"/>
      <c r="C6" s="19"/>
      <c r="D6" s="20"/>
      <c r="E6" s="21"/>
      <c r="F6" s="18"/>
      <c r="G6" s="19"/>
      <c r="H6" s="20"/>
      <c r="I6" s="19"/>
    </row>
    <row r="7" spans="1:9" ht="33" customHeight="1" x14ac:dyDescent="0.25">
      <c r="A7" s="22"/>
      <c r="B7" s="23"/>
      <c r="C7" s="24"/>
      <c r="D7" s="25"/>
      <c r="E7" s="26"/>
      <c r="F7" s="23"/>
      <c r="G7" s="24"/>
      <c r="H7" s="25"/>
      <c r="I7" s="24"/>
    </row>
    <row r="8" spans="1:9" ht="33" customHeight="1" x14ac:dyDescent="0.25">
      <c r="A8" s="22"/>
      <c r="B8" s="23"/>
      <c r="C8" s="24"/>
      <c r="D8" s="25"/>
      <c r="E8" s="26"/>
      <c r="F8" s="23"/>
      <c r="G8" s="24"/>
      <c r="H8" s="25"/>
      <c r="I8" s="24"/>
    </row>
    <row r="9" spans="1:9" ht="33" customHeight="1" x14ac:dyDescent="0.25">
      <c r="A9" s="22"/>
      <c r="B9" s="23"/>
      <c r="C9" s="24"/>
      <c r="D9" s="25"/>
      <c r="E9" s="26"/>
      <c r="F9" s="23"/>
      <c r="G9" s="24"/>
      <c r="H9" s="25"/>
      <c r="I9" s="24"/>
    </row>
    <row r="10" spans="1:9" ht="33" customHeight="1" x14ac:dyDescent="0.25">
      <c r="A10" s="22"/>
      <c r="B10" s="23"/>
      <c r="C10" s="24"/>
      <c r="D10" s="25"/>
      <c r="E10" s="26"/>
      <c r="F10" s="23"/>
      <c r="G10" s="24"/>
      <c r="H10" s="25"/>
      <c r="I10" s="24"/>
    </row>
    <row r="11" spans="1:9" ht="33" customHeight="1" x14ac:dyDescent="0.25">
      <c r="A11" s="22"/>
      <c r="B11" s="23"/>
      <c r="C11" s="24"/>
      <c r="D11" s="25"/>
      <c r="E11" s="26"/>
      <c r="F11" s="23"/>
      <c r="G11" s="24"/>
      <c r="H11" s="25"/>
      <c r="I11" s="24"/>
    </row>
    <row r="12" spans="1:9" ht="33" customHeight="1" x14ac:dyDescent="0.25">
      <c r="A12" s="22"/>
      <c r="B12" s="23"/>
      <c r="C12" s="24"/>
      <c r="D12" s="25"/>
      <c r="E12" s="26"/>
      <c r="F12" s="23"/>
      <c r="G12" s="24"/>
      <c r="H12" s="25"/>
      <c r="I12" s="24"/>
    </row>
    <row r="13" spans="1:9" ht="33" customHeight="1" x14ac:dyDescent="0.25">
      <c r="A13" s="22"/>
      <c r="B13" s="23"/>
      <c r="C13" s="24"/>
      <c r="D13" s="25"/>
      <c r="E13" s="26"/>
      <c r="F13" s="23"/>
      <c r="G13" s="24"/>
      <c r="H13" s="25"/>
      <c r="I13" s="24"/>
    </row>
    <row r="14" spans="1:9" ht="33" customHeight="1" x14ac:dyDescent="0.25">
      <c r="A14" s="22"/>
      <c r="B14" s="23"/>
      <c r="C14" s="24"/>
      <c r="D14" s="25"/>
      <c r="E14" s="26"/>
      <c r="F14" s="23"/>
      <c r="G14" s="24"/>
      <c r="H14" s="25"/>
      <c r="I14" s="24"/>
    </row>
    <row r="15" spans="1:9" ht="33" customHeight="1" x14ac:dyDescent="0.25">
      <c r="A15" s="22"/>
      <c r="B15" s="23"/>
      <c r="C15" s="24"/>
      <c r="D15" s="25"/>
      <c r="E15" s="26"/>
      <c r="F15" s="23"/>
      <c r="G15" s="24"/>
      <c r="H15" s="25"/>
      <c r="I15" s="24"/>
    </row>
    <row r="16" spans="1:9" ht="33" customHeight="1" x14ac:dyDescent="0.25">
      <c r="A16" s="22"/>
      <c r="B16" s="23"/>
      <c r="C16" s="24"/>
      <c r="D16" s="25"/>
      <c r="E16" s="26"/>
      <c r="F16" s="23"/>
      <c r="G16" s="24"/>
      <c r="H16" s="25"/>
      <c r="I16" s="24"/>
    </row>
    <row r="17" spans="1:9" ht="33" customHeight="1" x14ac:dyDescent="0.25">
      <c r="A17" s="22"/>
      <c r="B17" s="23"/>
      <c r="C17" s="24"/>
      <c r="D17" s="25"/>
      <c r="E17" s="26"/>
      <c r="F17" s="23"/>
      <c r="G17" s="24"/>
      <c r="H17" s="25"/>
      <c r="I17" s="24"/>
    </row>
    <row r="18" spans="1:9" ht="33" customHeight="1" x14ac:dyDescent="0.25">
      <c r="A18" s="22"/>
      <c r="B18" s="23"/>
      <c r="C18" s="24"/>
      <c r="D18" s="25"/>
      <c r="E18" s="26"/>
      <c r="F18" s="23"/>
      <c r="G18" s="24"/>
      <c r="H18" s="25"/>
      <c r="I18" s="24"/>
    </row>
    <row r="19" spans="1:9" ht="33" customHeight="1" x14ac:dyDescent="0.25">
      <c r="A19" s="22"/>
      <c r="B19" s="23"/>
      <c r="C19" s="24"/>
      <c r="D19" s="25"/>
      <c r="E19" s="26"/>
      <c r="F19" s="23"/>
      <c r="G19" s="24"/>
      <c r="H19" s="25"/>
      <c r="I19" s="24"/>
    </row>
    <row r="20" spans="1:9" ht="33" customHeight="1" thickBot="1" x14ac:dyDescent="0.3">
      <c r="A20" s="27"/>
      <c r="B20" s="28"/>
      <c r="C20" s="29"/>
      <c r="D20" s="30"/>
      <c r="E20" s="31"/>
      <c r="F20" s="28"/>
      <c r="G20" s="29"/>
      <c r="H20" s="30"/>
      <c r="I20" s="29"/>
    </row>
    <row r="21" spans="1:9" x14ac:dyDescent="0.25">
      <c r="A21" s="6"/>
      <c r="B21" s="7"/>
      <c r="C21" s="7"/>
      <c r="D21" s="7"/>
      <c r="E21" s="7"/>
      <c r="F21" s="7"/>
      <c r="G21" s="7"/>
      <c r="H21" s="7"/>
      <c r="I21" s="7"/>
    </row>
    <row r="22" spans="1:9" ht="18.75" x14ac:dyDescent="0.3">
      <c r="A22" s="52" t="s">
        <v>15</v>
      </c>
      <c r="B22" s="52"/>
      <c r="C22" s="52"/>
      <c r="D22" s="52"/>
      <c r="E22" s="32"/>
      <c r="F22" s="32"/>
      <c r="G22" s="32"/>
      <c r="H22" s="32"/>
      <c r="I22" s="32"/>
    </row>
    <row r="23" spans="1:9" x14ac:dyDescent="0.25">
      <c r="A23" s="6"/>
      <c r="B23" s="7"/>
      <c r="C23" s="7"/>
      <c r="D23" s="7"/>
      <c r="E23" s="7"/>
      <c r="F23" s="7"/>
      <c r="G23" s="7"/>
      <c r="H23" s="7"/>
      <c r="I23" s="7"/>
    </row>
  </sheetData>
  <sheetProtection algorithmName="SHA-512" hashValue="oyE5m6FB4BjgnJ4mdG1Xwu4/OUKoho6AHtgoqdv1uait4+bSQekIYZHhskg2Ox6lw91NjbSrl1+LzVeoCvig9A==" saltValue="Go30m7JhRInuFQBmRNBGtw==" spinCount="100000" sheet="1" objects="1" scenarios="1"/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E27"/>
  <sheetViews>
    <sheetView workbookViewId="0"/>
  </sheetViews>
  <sheetFormatPr defaultRowHeight="15" x14ac:dyDescent="0.25"/>
  <cols>
    <col min="1" max="1" width="22.28515625" bestFit="1" customWidth="1"/>
    <col min="2" max="2" width="13.85546875" bestFit="1" customWidth="1"/>
    <col min="3" max="3" width="10.140625" bestFit="1" customWidth="1"/>
    <col min="4" max="4" width="12" customWidth="1"/>
    <col min="5" max="5" width="45.7109375" customWidth="1"/>
  </cols>
  <sheetData>
    <row r="1" spans="1:5" ht="15.75" x14ac:dyDescent="0.25">
      <c r="A1" s="39" t="s">
        <v>49</v>
      </c>
    </row>
    <row r="2" spans="1:5" x14ac:dyDescent="0.25">
      <c r="A2" s="38"/>
    </row>
    <row r="3" spans="1:5" x14ac:dyDescent="0.25">
      <c r="A3" t="s">
        <v>23</v>
      </c>
      <c r="B3" t="s">
        <v>24</v>
      </c>
      <c r="C3" t="s">
        <v>6</v>
      </c>
      <c r="D3" t="s">
        <v>25</v>
      </c>
      <c r="E3" t="s">
        <v>26</v>
      </c>
    </row>
    <row r="4" spans="1:5" x14ac:dyDescent="0.25">
      <c r="A4" t="s">
        <v>27</v>
      </c>
      <c r="C4" t="s">
        <v>28</v>
      </c>
      <c r="D4">
        <v>41258495</v>
      </c>
    </row>
    <row r="5" spans="1:5" x14ac:dyDescent="0.25">
      <c r="A5" t="s">
        <v>29</v>
      </c>
      <c r="C5" t="s">
        <v>28</v>
      </c>
      <c r="D5">
        <v>90623781</v>
      </c>
    </row>
    <row r="6" spans="1:5" x14ac:dyDescent="0.25">
      <c r="A6" t="s">
        <v>30</v>
      </c>
      <c r="C6" t="s">
        <v>28</v>
      </c>
      <c r="D6">
        <v>46630323</v>
      </c>
    </row>
    <row r="7" spans="1:5" x14ac:dyDescent="0.25">
      <c r="A7" t="s">
        <v>31</v>
      </c>
      <c r="C7" t="s">
        <v>28</v>
      </c>
      <c r="D7">
        <v>94809667</v>
      </c>
    </row>
    <row r="8" spans="1:5" x14ac:dyDescent="0.25">
      <c r="A8" t="s">
        <v>32</v>
      </c>
      <c r="C8" t="s">
        <v>28</v>
      </c>
    </row>
    <row r="9" spans="1:5" x14ac:dyDescent="0.25">
      <c r="A9" t="s">
        <v>33</v>
      </c>
      <c r="C9" t="s">
        <v>28</v>
      </c>
    </row>
    <row r="10" spans="1:5" x14ac:dyDescent="0.25">
      <c r="A10" t="s">
        <v>34</v>
      </c>
      <c r="C10" t="s">
        <v>28</v>
      </c>
    </row>
    <row r="11" spans="1:5" x14ac:dyDescent="0.25">
      <c r="A11" t="s">
        <v>35</v>
      </c>
    </row>
    <row r="12" spans="1:5" x14ac:dyDescent="0.25">
      <c r="A12" t="s">
        <v>36</v>
      </c>
    </row>
    <row r="13" spans="1:5" x14ac:dyDescent="0.25">
      <c r="A13" t="s">
        <v>37</v>
      </c>
      <c r="C13" t="s">
        <v>28</v>
      </c>
      <c r="D13">
        <v>98607027</v>
      </c>
    </row>
    <row r="14" spans="1:5" x14ac:dyDescent="0.25">
      <c r="A14" t="s">
        <v>38</v>
      </c>
      <c r="B14" t="s">
        <v>28</v>
      </c>
      <c r="D14">
        <v>48606701</v>
      </c>
    </row>
    <row r="15" spans="1:5" x14ac:dyDescent="0.25">
      <c r="A15" t="s">
        <v>39</v>
      </c>
      <c r="B15" t="s">
        <v>28</v>
      </c>
    </row>
    <row r="16" spans="1:5" x14ac:dyDescent="0.25">
      <c r="A16" t="s">
        <v>40</v>
      </c>
      <c r="B16" t="s">
        <v>28</v>
      </c>
      <c r="D16">
        <v>95551449</v>
      </c>
    </row>
    <row r="17" spans="1:4" x14ac:dyDescent="0.25">
      <c r="A17" t="s">
        <v>41</v>
      </c>
      <c r="B17" t="s">
        <v>28</v>
      </c>
      <c r="D17">
        <v>97915101</v>
      </c>
    </row>
    <row r="18" spans="1:4" x14ac:dyDescent="0.25">
      <c r="A18" t="s">
        <v>42</v>
      </c>
      <c r="B18" t="s">
        <v>28</v>
      </c>
      <c r="D18">
        <v>46949380</v>
      </c>
    </row>
    <row r="19" spans="1:4" x14ac:dyDescent="0.25">
      <c r="A19" t="s">
        <v>43</v>
      </c>
      <c r="B19" t="s">
        <v>28</v>
      </c>
      <c r="D19">
        <v>41268495</v>
      </c>
    </row>
    <row r="20" spans="1:4" x14ac:dyDescent="0.25">
      <c r="A20" t="s">
        <v>44</v>
      </c>
      <c r="B20" t="s">
        <v>28</v>
      </c>
    </row>
    <row r="23" spans="1:4" x14ac:dyDescent="0.25">
      <c r="A23" t="s">
        <v>45</v>
      </c>
    </row>
    <row r="24" spans="1:4" x14ac:dyDescent="0.25">
      <c r="A24" t="s">
        <v>46</v>
      </c>
      <c r="D24">
        <v>47366543</v>
      </c>
    </row>
    <row r="26" spans="1:4" x14ac:dyDescent="0.25">
      <c r="A26" t="s">
        <v>47</v>
      </c>
      <c r="D26">
        <v>90362962</v>
      </c>
    </row>
    <row r="27" spans="1:4" x14ac:dyDescent="0.25">
      <c r="A27" t="s">
        <v>48</v>
      </c>
      <c r="D27">
        <v>91845169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I26"/>
  <sheetViews>
    <sheetView workbookViewId="0">
      <selection activeCell="A4" sqref="A4"/>
    </sheetView>
  </sheetViews>
  <sheetFormatPr defaultRowHeight="15" x14ac:dyDescent="0.25"/>
  <cols>
    <col min="1" max="1" width="23.7109375" customWidth="1"/>
    <col min="2" max="2" width="30.85546875" customWidth="1"/>
    <col min="3" max="3" width="12.7109375" customWidth="1"/>
    <col min="4" max="4" width="22.5703125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</cols>
  <sheetData>
    <row r="1" spans="1:9" ht="15.75" x14ac:dyDescent="0.25">
      <c r="A1" s="58" t="s">
        <v>192</v>
      </c>
      <c r="B1" s="58"/>
      <c r="C1" s="58"/>
      <c r="D1" s="58"/>
      <c r="E1" s="58"/>
      <c r="F1" s="58"/>
      <c r="G1" s="58"/>
      <c r="H1" s="58"/>
      <c r="I1" s="58"/>
    </row>
    <row r="2" spans="1:9" ht="18.75" x14ac:dyDescent="0.3">
      <c r="A2" s="59" t="s">
        <v>69</v>
      </c>
      <c r="B2" s="59"/>
      <c r="C2" s="59"/>
      <c r="D2" s="59"/>
      <c r="E2" s="59"/>
      <c r="F2" s="59"/>
      <c r="G2" s="59"/>
      <c r="H2" s="59"/>
      <c r="I2" s="59"/>
    </row>
    <row r="3" spans="1:9" ht="15.75" x14ac:dyDescent="0.25">
      <c r="A3" s="60">
        <v>42827</v>
      </c>
    </row>
    <row r="4" spans="1:9" ht="15.75" x14ac:dyDescent="0.25">
      <c r="A4" s="61" t="s">
        <v>0</v>
      </c>
      <c r="B4" s="61" t="s">
        <v>1</v>
      </c>
      <c r="C4" s="62" t="s">
        <v>2</v>
      </c>
      <c r="D4" s="61" t="s">
        <v>3</v>
      </c>
      <c r="E4" s="61" t="s">
        <v>4</v>
      </c>
      <c r="F4" s="61" t="s">
        <v>5</v>
      </c>
      <c r="G4" s="61" t="s">
        <v>8</v>
      </c>
      <c r="H4" s="61" t="s">
        <v>6</v>
      </c>
      <c r="I4" s="61" t="s">
        <v>7</v>
      </c>
    </row>
    <row r="5" spans="1:9" x14ac:dyDescent="0.25">
      <c r="A5" s="3" t="s">
        <v>202</v>
      </c>
      <c r="B5" t="s">
        <v>68</v>
      </c>
      <c r="C5" s="37" t="s">
        <v>113</v>
      </c>
      <c r="D5" t="s">
        <v>69</v>
      </c>
      <c r="E5" t="s">
        <v>70</v>
      </c>
      <c r="F5" t="s">
        <v>71</v>
      </c>
      <c r="G5" t="s">
        <v>193</v>
      </c>
      <c r="H5" s="1" t="s">
        <v>194</v>
      </c>
      <c r="I5" s="1" t="s">
        <v>45</v>
      </c>
    </row>
    <row r="6" spans="1:9" x14ac:dyDescent="0.25">
      <c r="A6" s="3" t="s">
        <v>203</v>
      </c>
      <c r="B6" t="s">
        <v>68</v>
      </c>
      <c r="C6" s="37" t="s">
        <v>116</v>
      </c>
      <c r="D6" t="s">
        <v>69</v>
      </c>
      <c r="E6" t="s">
        <v>80</v>
      </c>
      <c r="F6" t="s">
        <v>81</v>
      </c>
      <c r="G6" t="s">
        <v>193</v>
      </c>
      <c r="H6" s="1" t="s">
        <v>194</v>
      </c>
      <c r="I6" s="1" t="s">
        <v>45</v>
      </c>
    </row>
    <row r="7" spans="1:9" x14ac:dyDescent="0.25">
      <c r="A7" s="3" t="s">
        <v>204</v>
      </c>
      <c r="B7" t="s">
        <v>68</v>
      </c>
      <c r="C7" s="37" t="s">
        <v>119</v>
      </c>
      <c r="D7" t="s">
        <v>69</v>
      </c>
      <c r="E7" t="s">
        <v>86</v>
      </c>
      <c r="F7" t="s">
        <v>87</v>
      </c>
      <c r="G7" t="s">
        <v>193</v>
      </c>
      <c r="H7" s="1" t="s">
        <v>194</v>
      </c>
      <c r="I7" s="1" t="s">
        <v>45</v>
      </c>
    </row>
    <row r="8" spans="1:9" x14ac:dyDescent="0.25">
      <c r="A8" s="3" t="s">
        <v>205</v>
      </c>
      <c r="B8" t="s">
        <v>68</v>
      </c>
      <c r="C8" s="37" t="s">
        <v>122</v>
      </c>
      <c r="D8" t="s">
        <v>69</v>
      </c>
      <c r="E8" t="s">
        <v>92</v>
      </c>
      <c r="F8" t="s">
        <v>80</v>
      </c>
      <c r="G8" t="s">
        <v>193</v>
      </c>
      <c r="H8" s="1" t="s">
        <v>194</v>
      </c>
      <c r="I8" s="1" t="s">
        <v>45</v>
      </c>
    </row>
    <row r="9" spans="1:9" x14ac:dyDescent="0.25">
      <c r="A9" s="3" t="s">
        <v>206</v>
      </c>
      <c r="B9" t="s">
        <v>68</v>
      </c>
      <c r="C9" s="37" t="s">
        <v>125</v>
      </c>
      <c r="D9" t="s">
        <v>69</v>
      </c>
      <c r="E9" t="s">
        <v>71</v>
      </c>
      <c r="F9" t="s">
        <v>86</v>
      </c>
      <c r="G9" t="s">
        <v>193</v>
      </c>
      <c r="H9" s="1" t="s">
        <v>194</v>
      </c>
      <c r="I9" s="1" t="s">
        <v>45</v>
      </c>
    </row>
    <row r="10" spans="1:9" x14ac:dyDescent="0.25">
      <c r="A10" s="3" t="s">
        <v>207</v>
      </c>
      <c r="B10" t="s">
        <v>68</v>
      </c>
      <c r="C10" s="37" t="s">
        <v>128</v>
      </c>
      <c r="D10" t="s">
        <v>69</v>
      </c>
      <c r="E10" t="s">
        <v>81</v>
      </c>
      <c r="F10" t="s">
        <v>70</v>
      </c>
      <c r="G10" t="s">
        <v>193</v>
      </c>
      <c r="H10" s="1" t="s">
        <v>195</v>
      </c>
      <c r="I10" s="1" t="s">
        <v>44</v>
      </c>
    </row>
    <row r="11" spans="1:9" x14ac:dyDescent="0.25">
      <c r="A11" s="3" t="s">
        <v>208</v>
      </c>
      <c r="B11" t="s">
        <v>68</v>
      </c>
      <c r="C11" s="37" t="s">
        <v>131</v>
      </c>
      <c r="D11" t="s">
        <v>69</v>
      </c>
      <c r="E11" t="s">
        <v>80</v>
      </c>
      <c r="F11" t="s">
        <v>87</v>
      </c>
      <c r="G11" t="s">
        <v>193</v>
      </c>
      <c r="H11" s="1" t="s">
        <v>196</v>
      </c>
      <c r="I11" s="1" t="s">
        <v>44</v>
      </c>
    </row>
    <row r="12" spans="1:9" x14ac:dyDescent="0.25">
      <c r="A12" s="3" t="s">
        <v>209</v>
      </c>
      <c r="B12" t="s">
        <v>68</v>
      </c>
      <c r="C12" s="37" t="s">
        <v>134</v>
      </c>
      <c r="D12" t="s">
        <v>69</v>
      </c>
      <c r="E12" t="s">
        <v>70</v>
      </c>
      <c r="F12" t="s">
        <v>92</v>
      </c>
      <c r="G12" t="s">
        <v>193</v>
      </c>
      <c r="H12" s="1" t="s">
        <v>194</v>
      </c>
      <c r="I12" s="1" t="s">
        <v>45</v>
      </c>
    </row>
    <row r="13" spans="1:9" x14ac:dyDescent="0.25">
      <c r="A13" s="3" t="s">
        <v>210</v>
      </c>
      <c r="B13" t="s">
        <v>68</v>
      </c>
      <c r="C13" s="37" t="s">
        <v>137</v>
      </c>
      <c r="D13" t="s">
        <v>69</v>
      </c>
      <c r="E13" t="s">
        <v>86</v>
      </c>
      <c r="F13" t="s">
        <v>81</v>
      </c>
      <c r="G13" t="s">
        <v>193</v>
      </c>
      <c r="H13" s="1" t="s">
        <v>194</v>
      </c>
      <c r="I13" s="1" t="s">
        <v>45</v>
      </c>
    </row>
    <row r="14" spans="1:9" x14ac:dyDescent="0.25">
      <c r="A14" s="3" t="s">
        <v>211</v>
      </c>
      <c r="B14" t="s">
        <v>68</v>
      </c>
      <c r="C14" s="37" t="s">
        <v>140</v>
      </c>
      <c r="D14" t="s">
        <v>69</v>
      </c>
      <c r="E14" t="s">
        <v>71</v>
      </c>
      <c r="F14" t="s">
        <v>87</v>
      </c>
      <c r="G14" t="s">
        <v>193</v>
      </c>
      <c r="H14" s="1" t="s">
        <v>194</v>
      </c>
      <c r="I14" s="1" t="s">
        <v>45</v>
      </c>
    </row>
    <row r="15" spans="1:9" x14ac:dyDescent="0.25">
      <c r="A15" s="3" t="s">
        <v>212</v>
      </c>
      <c r="B15" t="s">
        <v>68</v>
      </c>
      <c r="C15" s="37" t="s">
        <v>143</v>
      </c>
      <c r="D15" t="s">
        <v>69</v>
      </c>
      <c r="E15" t="s">
        <v>81</v>
      </c>
      <c r="F15" t="s">
        <v>92</v>
      </c>
      <c r="G15" t="s">
        <v>193</v>
      </c>
      <c r="H15" s="1" t="s">
        <v>194</v>
      </c>
      <c r="I15" s="1" t="s">
        <v>45</v>
      </c>
    </row>
    <row r="16" spans="1:9" x14ac:dyDescent="0.25">
      <c r="A16" s="3" t="s">
        <v>213</v>
      </c>
      <c r="B16" t="s">
        <v>98</v>
      </c>
      <c r="C16" s="37" t="s">
        <v>148</v>
      </c>
      <c r="D16" t="s">
        <v>69</v>
      </c>
      <c r="E16" t="s">
        <v>99</v>
      </c>
      <c r="F16" t="s">
        <v>93</v>
      </c>
      <c r="G16" t="s">
        <v>197</v>
      </c>
      <c r="H16" s="1" t="s">
        <v>198</v>
      </c>
      <c r="I16" s="1" t="s">
        <v>29</v>
      </c>
    </row>
    <row r="17" spans="1:9" x14ac:dyDescent="0.25">
      <c r="A17" s="3" t="s">
        <v>214</v>
      </c>
      <c r="B17" t="s">
        <v>98</v>
      </c>
      <c r="C17" s="37" t="s">
        <v>151</v>
      </c>
      <c r="D17" t="s">
        <v>69</v>
      </c>
      <c r="E17" t="s">
        <v>105</v>
      </c>
      <c r="F17" t="s">
        <v>86</v>
      </c>
      <c r="G17" t="s">
        <v>197</v>
      </c>
      <c r="H17" s="1" t="s">
        <v>198</v>
      </c>
      <c r="I17" s="1" t="s">
        <v>29</v>
      </c>
    </row>
    <row r="18" spans="1:9" x14ac:dyDescent="0.25">
      <c r="A18" s="3" t="s">
        <v>215</v>
      </c>
      <c r="B18" t="s">
        <v>98</v>
      </c>
      <c r="C18" s="37" t="s">
        <v>154</v>
      </c>
      <c r="D18" t="s">
        <v>69</v>
      </c>
      <c r="E18" t="s">
        <v>70</v>
      </c>
      <c r="F18" t="s">
        <v>108</v>
      </c>
      <c r="G18" t="s">
        <v>197</v>
      </c>
      <c r="H18" s="1" t="s">
        <v>199</v>
      </c>
      <c r="I18" s="1" t="s">
        <v>44</v>
      </c>
    </row>
    <row r="19" spans="1:9" x14ac:dyDescent="0.25">
      <c r="A19" s="3" t="s">
        <v>216</v>
      </c>
      <c r="B19" t="s">
        <v>98</v>
      </c>
      <c r="C19" s="37" t="s">
        <v>157</v>
      </c>
      <c r="D19" t="s">
        <v>69</v>
      </c>
      <c r="E19" t="s">
        <v>111</v>
      </c>
      <c r="F19" t="s">
        <v>105</v>
      </c>
      <c r="G19" t="s">
        <v>197</v>
      </c>
      <c r="H19" s="1" t="s">
        <v>199</v>
      </c>
      <c r="I19" s="1" t="s">
        <v>44</v>
      </c>
    </row>
    <row r="20" spans="1:9" x14ac:dyDescent="0.25">
      <c r="A20" s="3" t="s">
        <v>217</v>
      </c>
      <c r="B20" t="s">
        <v>98</v>
      </c>
      <c r="C20" s="37" t="s">
        <v>160</v>
      </c>
      <c r="D20" t="s">
        <v>69</v>
      </c>
      <c r="E20" t="s">
        <v>93</v>
      </c>
      <c r="F20" t="s">
        <v>70</v>
      </c>
      <c r="G20" t="s">
        <v>197</v>
      </c>
      <c r="H20" s="1" t="s">
        <v>198</v>
      </c>
      <c r="I20" s="1" t="s">
        <v>29</v>
      </c>
    </row>
    <row r="21" spans="1:9" x14ac:dyDescent="0.25">
      <c r="A21" s="3" t="s">
        <v>218</v>
      </c>
      <c r="B21" t="s">
        <v>98</v>
      </c>
      <c r="C21" s="37" t="s">
        <v>163</v>
      </c>
      <c r="D21" t="s">
        <v>69</v>
      </c>
      <c r="E21" t="s">
        <v>86</v>
      </c>
      <c r="F21" t="s">
        <v>99</v>
      </c>
      <c r="G21" t="s">
        <v>197</v>
      </c>
      <c r="H21" s="1" t="s">
        <v>198</v>
      </c>
      <c r="I21" s="1" t="s">
        <v>29</v>
      </c>
    </row>
    <row r="22" spans="1:9" x14ac:dyDescent="0.25">
      <c r="A22" s="3" t="s">
        <v>219</v>
      </c>
      <c r="B22" t="s">
        <v>98</v>
      </c>
      <c r="C22" s="37" t="s">
        <v>166</v>
      </c>
      <c r="D22" t="s">
        <v>69</v>
      </c>
      <c r="E22" t="s">
        <v>105</v>
      </c>
      <c r="F22" t="s">
        <v>108</v>
      </c>
      <c r="G22" t="s">
        <v>197</v>
      </c>
      <c r="H22" s="1" t="s">
        <v>198</v>
      </c>
      <c r="I22" s="1" t="s">
        <v>29</v>
      </c>
    </row>
    <row r="23" spans="1:9" x14ac:dyDescent="0.25">
      <c r="A23" s="53" t="s">
        <v>220</v>
      </c>
      <c r="B23" s="1" t="s">
        <v>98</v>
      </c>
      <c r="C23" s="35" t="s">
        <v>169</v>
      </c>
      <c r="D23" s="1" t="s">
        <v>69</v>
      </c>
      <c r="E23" s="1" t="s">
        <v>99</v>
      </c>
      <c r="F23" s="1" t="s">
        <v>111</v>
      </c>
      <c r="G23" t="s">
        <v>197</v>
      </c>
      <c r="H23" s="1" t="s">
        <v>200</v>
      </c>
      <c r="I23" s="1" t="s">
        <v>201</v>
      </c>
    </row>
    <row r="24" spans="1:9" x14ac:dyDescent="0.25">
      <c r="A24" s="53" t="s">
        <v>221</v>
      </c>
      <c r="B24" s="1" t="s">
        <v>98</v>
      </c>
      <c r="C24" s="35" t="s">
        <v>172</v>
      </c>
      <c r="D24" s="1" t="s">
        <v>69</v>
      </c>
      <c r="E24" s="1" t="s">
        <v>70</v>
      </c>
      <c r="F24" s="1" t="s">
        <v>86</v>
      </c>
      <c r="G24" t="s">
        <v>197</v>
      </c>
      <c r="H24" s="1" t="s">
        <v>200</v>
      </c>
      <c r="I24" s="1" t="s">
        <v>201</v>
      </c>
    </row>
    <row r="25" spans="1:9" x14ac:dyDescent="0.25">
      <c r="A25" s="53" t="s">
        <v>222</v>
      </c>
      <c r="B25" s="1" t="s">
        <v>98</v>
      </c>
      <c r="C25" s="35" t="s">
        <v>175</v>
      </c>
      <c r="D25" s="1" t="s">
        <v>69</v>
      </c>
      <c r="E25" s="1" t="s">
        <v>93</v>
      </c>
      <c r="F25" s="1" t="s">
        <v>108</v>
      </c>
      <c r="G25" t="s">
        <v>197</v>
      </c>
      <c r="H25" s="1" t="s">
        <v>198</v>
      </c>
      <c r="I25" s="1" t="s">
        <v>29</v>
      </c>
    </row>
    <row r="26" spans="1:9" x14ac:dyDescent="0.25">
      <c r="A26" s="53" t="s">
        <v>223</v>
      </c>
      <c r="B26" s="1" t="s">
        <v>98</v>
      </c>
      <c r="C26" s="35" t="s">
        <v>178</v>
      </c>
      <c r="D26" s="1" t="s">
        <v>69</v>
      </c>
      <c r="E26" s="1" t="s">
        <v>86</v>
      </c>
      <c r="F26" s="1" t="s">
        <v>111</v>
      </c>
      <c r="G26" t="s">
        <v>197</v>
      </c>
      <c r="H26" s="1" t="s">
        <v>198</v>
      </c>
      <c r="I26" s="1" t="s">
        <v>29</v>
      </c>
    </row>
  </sheetData>
  <mergeCells count="2">
    <mergeCell ref="A1:I1"/>
    <mergeCell ref="A2:I2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26"/>
  <sheetViews>
    <sheetView workbookViewId="0">
      <selection activeCell="A4" sqref="A4"/>
    </sheetView>
  </sheetViews>
  <sheetFormatPr defaultRowHeight="15" x14ac:dyDescent="0.25"/>
  <cols>
    <col min="1" max="1" width="23.7109375" customWidth="1"/>
    <col min="2" max="2" width="30.85546875" customWidth="1"/>
    <col min="3" max="3" width="12.7109375" customWidth="1"/>
    <col min="4" max="4" width="22.5703125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</cols>
  <sheetData>
    <row r="1" spans="1:9" ht="15.75" x14ac:dyDescent="0.25">
      <c r="A1" s="58" t="s">
        <v>192</v>
      </c>
      <c r="B1" s="58"/>
      <c r="C1" s="58"/>
      <c r="D1" s="58"/>
      <c r="E1" s="58"/>
      <c r="F1" s="58"/>
      <c r="G1" s="58"/>
      <c r="H1" s="58"/>
      <c r="I1" s="58"/>
    </row>
    <row r="2" spans="1:9" ht="18.75" x14ac:dyDescent="0.3">
      <c r="A2" s="59" t="s">
        <v>73</v>
      </c>
      <c r="B2" s="59"/>
      <c r="C2" s="59"/>
      <c r="D2" s="59"/>
      <c r="E2" s="59"/>
      <c r="F2" s="59"/>
      <c r="G2" s="59"/>
      <c r="H2" s="59"/>
      <c r="I2" s="59"/>
    </row>
    <row r="3" spans="1:9" ht="15.75" x14ac:dyDescent="0.25">
      <c r="A3" s="60">
        <v>42827</v>
      </c>
    </row>
    <row r="4" spans="1:9" ht="15.75" x14ac:dyDescent="0.25">
      <c r="A4" s="61" t="s">
        <v>0</v>
      </c>
      <c r="B4" s="61" t="s">
        <v>1</v>
      </c>
      <c r="C4" s="62" t="s">
        <v>2</v>
      </c>
      <c r="D4" s="61" t="s">
        <v>3</v>
      </c>
      <c r="E4" s="61" t="s">
        <v>4</v>
      </c>
      <c r="F4" s="61" t="s">
        <v>5</v>
      </c>
      <c r="G4" s="61" t="s">
        <v>8</v>
      </c>
      <c r="H4" s="61" t="s">
        <v>6</v>
      </c>
      <c r="I4" s="61" t="s">
        <v>7</v>
      </c>
    </row>
    <row r="5" spans="1:9" x14ac:dyDescent="0.25">
      <c r="A5" s="3" t="s">
        <v>202</v>
      </c>
      <c r="B5" t="s">
        <v>72</v>
      </c>
      <c r="C5" s="37" t="s">
        <v>114</v>
      </c>
      <c r="D5" t="s">
        <v>73</v>
      </c>
      <c r="E5" t="s">
        <v>74</v>
      </c>
      <c r="F5" t="s">
        <v>75</v>
      </c>
      <c r="G5" t="s">
        <v>193</v>
      </c>
      <c r="H5" s="1" t="s">
        <v>198</v>
      </c>
      <c r="I5" s="1" t="s">
        <v>29</v>
      </c>
    </row>
    <row r="6" spans="1:9" x14ac:dyDescent="0.25">
      <c r="A6" s="3" t="s">
        <v>203</v>
      </c>
      <c r="B6" t="s">
        <v>72</v>
      </c>
      <c r="C6" s="37" t="s">
        <v>117</v>
      </c>
      <c r="D6" t="s">
        <v>73</v>
      </c>
      <c r="E6" t="s">
        <v>82</v>
      </c>
      <c r="F6" t="s">
        <v>83</v>
      </c>
      <c r="G6" t="s">
        <v>193</v>
      </c>
      <c r="H6" s="1" t="s">
        <v>199</v>
      </c>
      <c r="I6" s="1" t="s">
        <v>44</v>
      </c>
    </row>
    <row r="7" spans="1:9" x14ac:dyDescent="0.25">
      <c r="A7" s="3" t="s">
        <v>204</v>
      </c>
      <c r="B7" t="s">
        <v>72</v>
      </c>
      <c r="C7" s="37" t="s">
        <v>120</v>
      </c>
      <c r="D7" t="s">
        <v>73</v>
      </c>
      <c r="E7" t="s">
        <v>88</v>
      </c>
      <c r="F7" t="s">
        <v>89</v>
      </c>
      <c r="G7" t="s">
        <v>193</v>
      </c>
      <c r="H7" s="1" t="s">
        <v>199</v>
      </c>
      <c r="I7" s="1" t="s">
        <v>44</v>
      </c>
    </row>
    <row r="8" spans="1:9" x14ac:dyDescent="0.25">
      <c r="A8" s="3" t="s">
        <v>205</v>
      </c>
      <c r="B8" t="s">
        <v>72</v>
      </c>
      <c r="C8" s="37" t="s">
        <v>123</v>
      </c>
      <c r="D8" t="s">
        <v>73</v>
      </c>
      <c r="E8" t="s">
        <v>93</v>
      </c>
      <c r="F8" t="s">
        <v>82</v>
      </c>
      <c r="G8" t="s">
        <v>193</v>
      </c>
      <c r="H8" s="1" t="s">
        <v>199</v>
      </c>
      <c r="I8" s="1" t="s">
        <v>44</v>
      </c>
    </row>
    <row r="9" spans="1:9" x14ac:dyDescent="0.25">
      <c r="A9" s="3" t="s">
        <v>206</v>
      </c>
      <c r="B9" t="s">
        <v>72</v>
      </c>
      <c r="C9" s="37" t="s">
        <v>126</v>
      </c>
      <c r="D9" t="s">
        <v>73</v>
      </c>
      <c r="E9" t="s">
        <v>75</v>
      </c>
      <c r="F9" t="s">
        <v>88</v>
      </c>
      <c r="G9" t="s">
        <v>193</v>
      </c>
      <c r="H9" s="1" t="s">
        <v>196</v>
      </c>
      <c r="I9" s="1" t="s">
        <v>224</v>
      </c>
    </row>
    <row r="10" spans="1:9" x14ac:dyDescent="0.25">
      <c r="A10" s="3" t="s">
        <v>207</v>
      </c>
      <c r="B10" t="s">
        <v>72</v>
      </c>
      <c r="C10" s="37" t="s">
        <v>129</v>
      </c>
      <c r="D10" t="s">
        <v>73</v>
      </c>
      <c r="E10" t="s">
        <v>83</v>
      </c>
      <c r="F10" t="s">
        <v>74</v>
      </c>
      <c r="G10" t="s">
        <v>193</v>
      </c>
      <c r="H10" s="1" t="s">
        <v>196</v>
      </c>
      <c r="I10" s="1" t="s">
        <v>224</v>
      </c>
    </row>
    <row r="11" spans="1:9" x14ac:dyDescent="0.25">
      <c r="A11" s="3" t="s">
        <v>208</v>
      </c>
      <c r="B11" t="s">
        <v>72</v>
      </c>
      <c r="C11" s="37" t="s">
        <v>132</v>
      </c>
      <c r="D11" t="s">
        <v>73</v>
      </c>
      <c r="E11" t="s">
        <v>82</v>
      </c>
      <c r="F11" t="s">
        <v>89</v>
      </c>
      <c r="G11" t="s">
        <v>193</v>
      </c>
      <c r="H11" s="1" t="s">
        <v>200</v>
      </c>
      <c r="I11" s="1" t="s">
        <v>201</v>
      </c>
    </row>
    <row r="12" spans="1:9" x14ac:dyDescent="0.25">
      <c r="A12" s="3" t="s">
        <v>209</v>
      </c>
      <c r="B12" t="s">
        <v>72</v>
      </c>
      <c r="C12" s="37" t="s">
        <v>135</v>
      </c>
      <c r="D12" t="s">
        <v>73</v>
      </c>
      <c r="E12" t="s">
        <v>74</v>
      </c>
      <c r="F12" t="s">
        <v>93</v>
      </c>
      <c r="G12" t="s">
        <v>193</v>
      </c>
      <c r="H12" s="1" t="s">
        <v>200</v>
      </c>
      <c r="I12" s="1" t="s">
        <v>201</v>
      </c>
    </row>
    <row r="13" spans="1:9" x14ac:dyDescent="0.25">
      <c r="A13" s="3" t="s">
        <v>210</v>
      </c>
      <c r="B13" t="s">
        <v>72</v>
      </c>
      <c r="C13" s="37" t="s">
        <v>138</v>
      </c>
      <c r="D13" t="s">
        <v>73</v>
      </c>
      <c r="E13" t="s">
        <v>88</v>
      </c>
      <c r="F13" t="s">
        <v>83</v>
      </c>
      <c r="G13" t="s">
        <v>193</v>
      </c>
      <c r="H13" s="1" t="s">
        <v>196</v>
      </c>
      <c r="I13" s="1" t="s">
        <v>224</v>
      </c>
    </row>
    <row r="14" spans="1:9" x14ac:dyDescent="0.25">
      <c r="A14" s="3" t="s">
        <v>211</v>
      </c>
      <c r="B14" t="s">
        <v>72</v>
      </c>
      <c r="C14" s="37" t="s">
        <v>141</v>
      </c>
      <c r="D14" t="s">
        <v>73</v>
      </c>
      <c r="E14" t="s">
        <v>75</v>
      </c>
      <c r="F14" t="s">
        <v>89</v>
      </c>
      <c r="G14" t="s">
        <v>193</v>
      </c>
      <c r="H14" s="1" t="s">
        <v>196</v>
      </c>
      <c r="I14" s="1" t="s">
        <v>224</v>
      </c>
    </row>
    <row r="15" spans="1:9" x14ac:dyDescent="0.25">
      <c r="A15" s="3" t="s">
        <v>212</v>
      </c>
      <c r="B15" t="s">
        <v>72</v>
      </c>
      <c r="C15" s="37" t="s">
        <v>144</v>
      </c>
      <c r="D15" t="s">
        <v>73</v>
      </c>
      <c r="E15" t="s">
        <v>83</v>
      </c>
      <c r="F15" t="s">
        <v>93</v>
      </c>
      <c r="G15" t="s">
        <v>193</v>
      </c>
      <c r="H15" s="1" t="s">
        <v>225</v>
      </c>
      <c r="I15" s="1" t="s">
        <v>44</v>
      </c>
    </row>
    <row r="16" spans="1:9" x14ac:dyDescent="0.25">
      <c r="A16" s="3" t="s">
        <v>213</v>
      </c>
      <c r="B16" t="s">
        <v>96</v>
      </c>
      <c r="C16" s="37" t="s">
        <v>147</v>
      </c>
      <c r="D16" t="s">
        <v>73</v>
      </c>
      <c r="E16" t="s">
        <v>83</v>
      </c>
      <c r="F16" t="s">
        <v>97</v>
      </c>
      <c r="G16" t="s">
        <v>197</v>
      </c>
      <c r="H16" s="1" t="s">
        <v>226</v>
      </c>
      <c r="I16" s="1" t="s">
        <v>44</v>
      </c>
    </row>
    <row r="17" spans="1:9" x14ac:dyDescent="0.25">
      <c r="A17" s="3" t="s">
        <v>214</v>
      </c>
      <c r="B17" t="s">
        <v>96</v>
      </c>
      <c r="C17" s="37" t="s">
        <v>149</v>
      </c>
      <c r="D17" t="s">
        <v>73</v>
      </c>
      <c r="E17" t="s">
        <v>100</v>
      </c>
      <c r="F17" t="s">
        <v>101</v>
      </c>
      <c r="G17" t="s">
        <v>197</v>
      </c>
      <c r="H17" s="1" t="s">
        <v>196</v>
      </c>
      <c r="I17" s="1" t="s">
        <v>224</v>
      </c>
    </row>
    <row r="18" spans="1:9" x14ac:dyDescent="0.25">
      <c r="A18" s="3" t="s">
        <v>215</v>
      </c>
      <c r="B18" t="s">
        <v>96</v>
      </c>
      <c r="C18" s="37" t="s">
        <v>152</v>
      </c>
      <c r="D18" t="s">
        <v>73</v>
      </c>
      <c r="E18" t="s">
        <v>106</v>
      </c>
      <c r="F18" t="s">
        <v>71</v>
      </c>
      <c r="G18" t="s">
        <v>197</v>
      </c>
      <c r="H18" s="1" t="s">
        <v>196</v>
      </c>
      <c r="I18" s="1" t="s">
        <v>224</v>
      </c>
    </row>
    <row r="19" spans="1:9" x14ac:dyDescent="0.25">
      <c r="A19" s="3" t="s">
        <v>216</v>
      </c>
      <c r="B19" t="s">
        <v>96</v>
      </c>
      <c r="C19" s="37" t="s">
        <v>155</v>
      </c>
      <c r="D19" t="s">
        <v>73</v>
      </c>
      <c r="E19" t="s">
        <v>80</v>
      </c>
      <c r="F19" t="s">
        <v>100</v>
      </c>
      <c r="G19" t="s">
        <v>197</v>
      </c>
      <c r="H19" s="1" t="s">
        <v>200</v>
      </c>
      <c r="I19" s="1" t="s">
        <v>201</v>
      </c>
    </row>
    <row r="20" spans="1:9" x14ac:dyDescent="0.25">
      <c r="A20" s="3" t="s">
        <v>217</v>
      </c>
      <c r="B20" t="s">
        <v>96</v>
      </c>
      <c r="C20" s="37" t="s">
        <v>158</v>
      </c>
      <c r="D20" t="s">
        <v>73</v>
      </c>
      <c r="E20" t="s">
        <v>97</v>
      </c>
      <c r="F20" t="s">
        <v>106</v>
      </c>
      <c r="G20" t="s">
        <v>197</v>
      </c>
      <c r="H20" s="1" t="s">
        <v>200</v>
      </c>
      <c r="I20" s="1" t="s">
        <v>201</v>
      </c>
    </row>
    <row r="21" spans="1:9" x14ac:dyDescent="0.25">
      <c r="A21" s="3" t="s">
        <v>218</v>
      </c>
      <c r="B21" t="s">
        <v>96</v>
      </c>
      <c r="C21" s="37" t="s">
        <v>161</v>
      </c>
      <c r="D21" t="s">
        <v>73</v>
      </c>
      <c r="E21" t="s">
        <v>101</v>
      </c>
      <c r="F21" t="s">
        <v>83</v>
      </c>
      <c r="G21" t="s">
        <v>197</v>
      </c>
      <c r="H21" s="1" t="s">
        <v>196</v>
      </c>
      <c r="I21" s="1" t="s">
        <v>224</v>
      </c>
    </row>
    <row r="22" spans="1:9" x14ac:dyDescent="0.25">
      <c r="A22" s="3" t="s">
        <v>219</v>
      </c>
      <c r="B22" t="s">
        <v>96</v>
      </c>
      <c r="C22" s="37" t="s">
        <v>164</v>
      </c>
      <c r="D22" t="s">
        <v>73</v>
      </c>
      <c r="E22" t="s">
        <v>100</v>
      </c>
      <c r="F22" t="s">
        <v>71</v>
      </c>
      <c r="G22" t="s">
        <v>197</v>
      </c>
      <c r="H22" s="1" t="s">
        <v>196</v>
      </c>
      <c r="I22" s="1" t="s">
        <v>224</v>
      </c>
    </row>
    <row r="23" spans="1:9" x14ac:dyDescent="0.25">
      <c r="A23" s="53" t="s">
        <v>220</v>
      </c>
      <c r="B23" s="1" t="s">
        <v>96</v>
      </c>
      <c r="C23" s="35" t="s">
        <v>167</v>
      </c>
      <c r="D23" s="1" t="s">
        <v>73</v>
      </c>
      <c r="E23" s="1" t="s">
        <v>83</v>
      </c>
      <c r="F23" s="1" t="s">
        <v>80</v>
      </c>
      <c r="G23" t="s">
        <v>197</v>
      </c>
      <c r="H23" s="1" t="s">
        <v>199</v>
      </c>
      <c r="I23" s="1" t="s">
        <v>44</v>
      </c>
    </row>
    <row r="24" spans="1:9" x14ac:dyDescent="0.25">
      <c r="A24" s="53" t="s">
        <v>221</v>
      </c>
      <c r="B24" s="1" t="s">
        <v>96</v>
      </c>
      <c r="C24" s="35" t="s">
        <v>170</v>
      </c>
      <c r="D24" s="1" t="s">
        <v>73</v>
      </c>
      <c r="E24" s="1" t="s">
        <v>106</v>
      </c>
      <c r="F24" s="1" t="s">
        <v>101</v>
      </c>
      <c r="G24" t="s">
        <v>197</v>
      </c>
      <c r="H24" s="1" t="s">
        <v>199</v>
      </c>
      <c r="I24" s="1" t="s">
        <v>44</v>
      </c>
    </row>
    <row r="25" spans="1:9" x14ac:dyDescent="0.25">
      <c r="A25" s="53" t="s">
        <v>222</v>
      </c>
      <c r="B25" s="1" t="s">
        <v>96</v>
      </c>
      <c r="C25" s="35" t="s">
        <v>173</v>
      </c>
      <c r="D25" s="1" t="s">
        <v>73</v>
      </c>
      <c r="E25" s="1" t="s">
        <v>97</v>
      </c>
      <c r="F25" s="1" t="s">
        <v>71</v>
      </c>
      <c r="G25" t="s">
        <v>197</v>
      </c>
      <c r="H25" s="1" t="s">
        <v>196</v>
      </c>
      <c r="I25" s="1" t="s">
        <v>224</v>
      </c>
    </row>
    <row r="26" spans="1:9" x14ac:dyDescent="0.25">
      <c r="A26" s="53" t="s">
        <v>223</v>
      </c>
      <c r="B26" s="1" t="s">
        <v>96</v>
      </c>
      <c r="C26" s="35" t="s">
        <v>176</v>
      </c>
      <c r="D26" s="1" t="s">
        <v>73</v>
      </c>
      <c r="E26" s="1" t="s">
        <v>101</v>
      </c>
      <c r="F26" s="1" t="s">
        <v>80</v>
      </c>
      <c r="G26" t="s">
        <v>197</v>
      </c>
      <c r="H26" s="1" t="s">
        <v>196</v>
      </c>
      <c r="I26" s="1" t="s">
        <v>224</v>
      </c>
    </row>
  </sheetData>
  <mergeCells count="2">
    <mergeCell ref="A1:I1"/>
    <mergeCell ref="A2:I2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I27"/>
  <sheetViews>
    <sheetView workbookViewId="0">
      <selection activeCell="A4" sqref="A4"/>
    </sheetView>
  </sheetViews>
  <sheetFormatPr defaultRowHeight="15" x14ac:dyDescent="0.25"/>
  <cols>
    <col min="1" max="1" width="23.7109375" customWidth="1"/>
    <col min="2" max="2" width="30.85546875" customWidth="1"/>
    <col min="3" max="3" width="12.7109375" customWidth="1"/>
    <col min="4" max="4" width="22.5703125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</cols>
  <sheetData>
    <row r="1" spans="1:9" ht="15.75" x14ac:dyDescent="0.25">
      <c r="A1" s="58" t="s">
        <v>192</v>
      </c>
      <c r="B1" s="58"/>
      <c r="C1" s="58"/>
      <c r="D1" s="58"/>
      <c r="E1" s="58"/>
      <c r="F1" s="58"/>
      <c r="G1" s="58"/>
      <c r="H1" s="58"/>
      <c r="I1" s="58"/>
    </row>
    <row r="2" spans="1:9" ht="18.75" x14ac:dyDescent="0.3">
      <c r="A2" s="59" t="s">
        <v>77</v>
      </c>
      <c r="B2" s="59"/>
      <c r="C2" s="59"/>
      <c r="D2" s="59"/>
      <c r="E2" s="59"/>
      <c r="F2" s="59"/>
      <c r="G2" s="59"/>
      <c r="H2" s="59"/>
      <c r="I2" s="59"/>
    </row>
    <row r="3" spans="1:9" ht="15.75" x14ac:dyDescent="0.25">
      <c r="A3" s="60">
        <v>42827</v>
      </c>
    </row>
    <row r="4" spans="1:9" ht="15.75" x14ac:dyDescent="0.25">
      <c r="A4" s="61" t="s">
        <v>0</v>
      </c>
      <c r="B4" s="61" t="s">
        <v>1</v>
      </c>
      <c r="C4" s="62" t="s">
        <v>2</v>
      </c>
      <c r="D4" s="61" t="s">
        <v>3</v>
      </c>
      <c r="E4" s="61" t="s">
        <v>4</v>
      </c>
      <c r="F4" s="61" t="s">
        <v>5</v>
      </c>
      <c r="G4" s="61" t="s">
        <v>8</v>
      </c>
      <c r="H4" s="61" t="s">
        <v>6</v>
      </c>
      <c r="I4" s="61" t="s">
        <v>7</v>
      </c>
    </row>
    <row r="5" spans="1:9" x14ac:dyDescent="0.25">
      <c r="A5" s="3" t="s">
        <v>202</v>
      </c>
      <c r="B5" t="s">
        <v>76</v>
      </c>
      <c r="C5" s="37" t="s">
        <v>115</v>
      </c>
      <c r="D5" t="s">
        <v>77</v>
      </c>
      <c r="E5" t="s">
        <v>78</v>
      </c>
      <c r="F5" t="s">
        <v>79</v>
      </c>
      <c r="G5" t="s">
        <v>197</v>
      </c>
      <c r="H5" s="1" t="s">
        <v>196</v>
      </c>
      <c r="I5" s="1" t="s">
        <v>224</v>
      </c>
    </row>
    <row r="6" spans="1:9" x14ac:dyDescent="0.25">
      <c r="A6" s="3" t="s">
        <v>203</v>
      </c>
      <c r="B6" t="s">
        <v>76</v>
      </c>
      <c r="C6" s="37" t="s">
        <v>118</v>
      </c>
      <c r="D6" t="s">
        <v>77</v>
      </c>
      <c r="E6" t="s">
        <v>84</v>
      </c>
      <c r="F6" t="s">
        <v>85</v>
      </c>
      <c r="G6" t="s">
        <v>197</v>
      </c>
      <c r="H6" s="1" t="s">
        <v>200</v>
      </c>
      <c r="I6" s="1" t="s">
        <v>201</v>
      </c>
    </row>
    <row r="7" spans="1:9" x14ac:dyDescent="0.25">
      <c r="A7" s="3" t="s">
        <v>204</v>
      </c>
      <c r="B7" t="s">
        <v>76</v>
      </c>
      <c r="C7" s="37" t="s">
        <v>121</v>
      </c>
      <c r="D7" t="s">
        <v>77</v>
      </c>
      <c r="E7" t="s">
        <v>90</v>
      </c>
      <c r="F7" t="s">
        <v>91</v>
      </c>
      <c r="G7" t="s">
        <v>197</v>
      </c>
      <c r="H7" s="1" t="s">
        <v>200</v>
      </c>
      <c r="I7" s="1" t="s">
        <v>201</v>
      </c>
    </row>
    <row r="8" spans="1:9" x14ac:dyDescent="0.25">
      <c r="A8" s="3" t="s">
        <v>205</v>
      </c>
      <c r="B8" t="s">
        <v>76</v>
      </c>
      <c r="C8" s="37" t="s">
        <v>124</v>
      </c>
      <c r="D8" t="s">
        <v>77</v>
      </c>
      <c r="E8" t="s">
        <v>94</v>
      </c>
      <c r="F8" t="s">
        <v>95</v>
      </c>
      <c r="G8" t="s">
        <v>197</v>
      </c>
      <c r="H8" s="1" t="s">
        <v>200</v>
      </c>
      <c r="I8" s="1" t="s">
        <v>201</v>
      </c>
    </row>
    <row r="9" spans="1:9" x14ac:dyDescent="0.25">
      <c r="A9" s="3" t="s">
        <v>206</v>
      </c>
      <c r="B9" t="s">
        <v>76</v>
      </c>
      <c r="C9" s="37" t="s">
        <v>127</v>
      </c>
      <c r="D9" t="s">
        <v>77</v>
      </c>
      <c r="E9" t="s">
        <v>78</v>
      </c>
      <c r="F9" t="s">
        <v>85</v>
      </c>
      <c r="G9" t="s">
        <v>197</v>
      </c>
      <c r="H9" s="1" t="s">
        <v>227</v>
      </c>
      <c r="I9" s="1" t="s">
        <v>43</v>
      </c>
    </row>
    <row r="10" spans="1:9" x14ac:dyDescent="0.25">
      <c r="A10" s="3" t="s">
        <v>207</v>
      </c>
      <c r="B10" t="s">
        <v>76</v>
      </c>
      <c r="C10" s="37" t="s">
        <v>130</v>
      </c>
      <c r="D10" t="s">
        <v>77</v>
      </c>
      <c r="E10" t="s">
        <v>79</v>
      </c>
      <c r="F10" t="s">
        <v>84</v>
      </c>
      <c r="G10" t="s">
        <v>197</v>
      </c>
      <c r="H10" s="1" t="s">
        <v>227</v>
      </c>
      <c r="I10" s="1" t="s">
        <v>43</v>
      </c>
    </row>
    <row r="11" spans="1:9" x14ac:dyDescent="0.25">
      <c r="A11" s="3" t="s">
        <v>208</v>
      </c>
      <c r="B11" t="s">
        <v>76</v>
      </c>
      <c r="C11" s="37" t="s">
        <v>133</v>
      </c>
      <c r="D11" t="s">
        <v>77</v>
      </c>
      <c r="E11" t="s">
        <v>95</v>
      </c>
      <c r="F11" t="s">
        <v>90</v>
      </c>
      <c r="G11" t="s">
        <v>197</v>
      </c>
      <c r="H11" s="1" t="s">
        <v>226</v>
      </c>
      <c r="I11" s="1" t="s">
        <v>228</v>
      </c>
    </row>
    <row r="12" spans="1:9" x14ac:dyDescent="0.25">
      <c r="A12" s="3" t="s">
        <v>209</v>
      </c>
      <c r="B12" t="s">
        <v>76</v>
      </c>
      <c r="C12" s="37" t="s">
        <v>136</v>
      </c>
      <c r="D12" t="s">
        <v>77</v>
      </c>
      <c r="E12" t="s">
        <v>91</v>
      </c>
      <c r="F12" t="s">
        <v>94</v>
      </c>
      <c r="G12" t="s">
        <v>197</v>
      </c>
      <c r="H12" s="1" t="s">
        <v>226</v>
      </c>
      <c r="I12" s="1" t="s">
        <v>228</v>
      </c>
    </row>
    <row r="13" spans="1:9" x14ac:dyDescent="0.25">
      <c r="A13" s="3" t="s">
        <v>210</v>
      </c>
      <c r="B13" t="s">
        <v>76</v>
      </c>
      <c r="C13" s="37" t="s">
        <v>139</v>
      </c>
      <c r="D13" t="s">
        <v>77</v>
      </c>
      <c r="E13" t="s">
        <v>85</v>
      </c>
      <c r="F13" t="s">
        <v>79</v>
      </c>
      <c r="G13" t="s">
        <v>197</v>
      </c>
      <c r="H13" s="1" t="s">
        <v>225</v>
      </c>
      <c r="I13" s="1" t="s">
        <v>42</v>
      </c>
    </row>
    <row r="14" spans="1:9" ht="15.75" thickBot="1" x14ac:dyDescent="0.3">
      <c r="A14" s="4" t="s">
        <v>211</v>
      </c>
      <c r="B14" t="s">
        <v>76</v>
      </c>
      <c r="C14" s="37" t="s">
        <v>142</v>
      </c>
      <c r="D14" t="s">
        <v>77</v>
      </c>
      <c r="E14" t="s">
        <v>84</v>
      </c>
      <c r="F14" t="s">
        <v>78</v>
      </c>
      <c r="G14" t="s">
        <v>197</v>
      </c>
      <c r="H14" s="1" t="s">
        <v>225</v>
      </c>
      <c r="I14" s="1" t="s">
        <v>42</v>
      </c>
    </row>
    <row r="15" spans="1:9" x14ac:dyDescent="0.25">
      <c r="A15" s="54" t="s">
        <v>212</v>
      </c>
      <c r="B15" t="s">
        <v>76</v>
      </c>
      <c r="C15" s="37" t="s">
        <v>145</v>
      </c>
      <c r="D15" t="s">
        <v>77</v>
      </c>
      <c r="E15" t="s">
        <v>91</v>
      </c>
      <c r="F15" t="s">
        <v>95</v>
      </c>
      <c r="G15" t="s">
        <v>197</v>
      </c>
      <c r="H15" s="1" t="s">
        <v>200</v>
      </c>
      <c r="I15" s="1" t="s">
        <v>201</v>
      </c>
    </row>
    <row r="16" spans="1:9" x14ac:dyDescent="0.25">
      <c r="A16" s="54" t="s">
        <v>213</v>
      </c>
      <c r="B16" t="s">
        <v>76</v>
      </c>
      <c r="C16" s="37" t="s">
        <v>146</v>
      </c>
      <c r="D16" t="s">
        <v>77</v>
      </c>
      <c r="E16" t="s">
        <v>94</v>
      </c>
      <c r="F16" t="s">
        <v>90</v>
      </c>
      <c r="G16" t="s">
        <v>197</v>
      </c>
      <c r="H16" s="1" t="s">
        <v>200</v>
      </c>
      <c r="I16" s="1" t="s">
        <v>201</v>
      </c>
    </row>
    <row r="17" spans="1:9" x14ac:dyDescent="0.25">
      <c r="A17" s="54" t="s">
        <v>214</v>
      </c>
      <c r="B17" t="s">
        <v>102</v>
      </c>
      <c r="C17" s="37" t="s">
        <v>150</v>
      </c>
      <c r="D17" t="s">
        <v>77</v>
      </c>
      <c r="E17" t="s">
        <v>103</v>
      </c>
      <c r="F17" t="s">
        <v>104</v>
      </c>
      <c r="G17" t="s">
        <v>197</v>
      </c>
      <c r="H17" s="1" t="s">
        <v>227</v>
      </c>
      <c r="I17" s="1" t="s">
        <v>43</v>
      </c>
    </row>
    <row r="18" spans="1:9" x14ac:dyDescent="0.25">
      <c r="A18" s="54" t="s">
        <v>215</v>
      </c>
      <c r="B18" t="s">
        <v>102</v>
      </c>
      <c r="C18" s="37" t="s">
        <v>153</v>
      </c>
      <c r="D18" t="s">
        <v>77</v>
      </c>
      <c r="E18" t="s">
        <v>107</v>
      </c>
      <c r="F18" t="s">
        <v>105</v>
      </c>
      <c r="G18" t="s">
        <v>197</v>
      </c>
      <c r="H18" s="1" t="s">
        <v>227</v>
      </c>
      <c r="I18" s="1" t="s">
        <v>43</v>
      </c>
    </row>
    <row r="19" spans="1:9" x14ac:dyDescent="0.25">
      <c r="A19" s="54" t="s">
        <v>216</v>
      </c>
      <c r="B19" t="s">
        <v>102</v>
      </c>
      <c r="C19" s="37" t="s">
        <v>156</v>
      </c>
      <c r="D19" t="s">
        <v>77</v>
      </c>
      <c r="E19" t="s">
        <v>109</v>
      </c>
      <c r="F19" t="s">
        <v>110</v>
      </c>
      <c r="G19" t="s">
        <v>197</v>
      </c>
      <c r="H19" s="1" t="s">
        <v>226</v>
      </c>
      <c r="I19" s="1" t="s">
        <v>228</v>
      </c>
    </row>
    <row r="20" spans="1:9" x14ac:dyDescent="0.25">
      <c r="A20" s="54" t="s">
        <v>217</v>
      </c>
      <c r="B20" t="s">
        <v>102</v>
      </c>
      <c r="C20" s="37" t="s">
        <v>159</v>
      </c>
      <c r="D20" t="s">
        <v>77</v>
      </c>
      <c r="E20" t="s">
        <v>112</v>
      </c>
      <c r="F20" t="s">
        <v>107</v>
      </c>
      <c r="G20" t="s">
        <v>197</v>
      </c>
      <c r="H20" s="1" t="s">
        <v>226</v>
      </c>
      <c r="I20" s="1" t="s">
        <v>228</v>
      </c>
    </row>
    <row r="21" spans="1:9" x14ac:dyDescent="0.25">
      <c r="A21" s="54" t="s">
        <v>218</v>
      </c>
      <c r="B21" t="s">
        <v>102</v>
      </c>
      <c r="C21" s="37" t="s">
        <v>162</v>
      </c>
      <c r="D21" t="s">
        <v>77</v>
      </c>
      <c r="E21" t="s">
        <v>104</v>
      </c>
      <c r="F21" t="s">
        <v>109</v>
      </c>
      <c r="G21" t="s">
        <v>197</v>
      </c>
      <c r="H21" s="1" t="s">
        <v>225</v>
      </c>
      <c r="I21" s="1" t="s">
        <v>42</v>
      </c>
    </row>
    <row r="22" spans="1:9" x14ac:dyDescent="0.25">
      <c r="A22" s="54" t="s">
        <v>219</v>
      </c>
      <c r="B22" t="s">
        <v>102</v>
      </c>
      <c r="C22" s="37" t="s">
        <v>165</v>
      </c>
      <c r="D22" t="s">
        <v>77</v>
      </c>
      <c r="E22" t="s">
        <v>105</v>
      </c>
      <c r="F22" t="s">
        <v>103</v>
      </c>
      <c r="G22" t="s">
        <v>197</v>
      </c>
      <c r="H22" s="1" t="s">
        <v>225</v>
      </c>
      <c r="I22" s="1" t="s">
        <v>42</v>
      </c>
    </row>
    <row r="23" spans="1:9" x14ac:dyDescent="0.25">
      <c r="A23" s="40" t="s">
        <v>220</v>
      </c>
      <c r="B23" s="1" t="s">
        <v>102</v>
      </c>
      <c r="C23" s="35" t="s">
        <v>168</v>
      </c>
      <c r="D23" s="1" t="s">
        <v>77</v>
      </c>
      <c r="E23" s="1" t="s">
        <v>107</v>
      </c>
      <c r="F23" s="1" t="s">
        <v>110</v>
      </c>
      <c r="G23" t="s">
        <v>197</v>
      </c>
      <c r="H23" s="1" t="s">
        <v>227</v>
      </c>
      <c r="I23" s="1" t="s">
        <v>43</v>
      </c>
    </row>
    <row r="24" spans="1:9" x14ac:dyDescent="0.25">
      <c r="A24" s="40" t="s">
        <v>221</v>
      </c>
      <c r="B24" s="1" t="s">
        <v>102</v>
      </c>
      <c r="C24" s="35" t="s">
        <v>171</v>
      </c>
      <c r="D24" s="1" t="s">
        <v>77</v>
      </c>
      <c r="E24" s="1" t="s">
        <v>103</v>
      </c>
      <c r="F24" s="1" t="s">
        <v>112</v>
      </c>
      <c r="G24" t="s">
        <v>197</v>
      </c>
      <c r="H24" s="1" t="s">
        <v>227</v>
      </c>
      <c r="I24" s="1" t="s">
        <v>43</v>
      </c>
    </row>
    <row r="25" spans="1:9" x14ac:dyDescent="0.25">
      <c r="A25" s="40" t="s">
        <v>222</v>
      </c>
      <c r="B25" s="1" t="s">
        <v>102</v>
      </c>
      <c r="C25" s="35" t="s">
        <v>174</v>
      </c>
      <c r="D25" s="1" t="s">
        <v>77</v>
      </c>
      <c r="E25" s="1" t="s">
        <v>109</v>
      </c>
      <c r="F25" s="1" t="s">
        <v>105</v>
      </c>
      <c r="G25" t="s">
        <v>197</v>
      </c>
      <c r="H25" s="1" t="s">
        <v>226</v>
      </c>
      <c r="I25" s="1" t="s">
        <v>228</v>
      </c>
    </row>
    <row r="26" spans="1:9" x14ac:dyDescent="0.25">
      <c r="A26" s="40" t="s">
        <v>223</v>
      </c>
      <c r="B26" s="1" t="s">
        <v>102</v>
      </c>
      <c r="C26" s="35" t="s">
        <v>177</v>
      </c>
      <c r="D26" s="1" t="s">
        <v>77</v>
      </c>
      <c r="E26" s="1" t="s">
        <v>104</v>
      </c>
      <c r="F26" s="1" t="s">
        <v>110</v>
      </c>
      <c r="G26" t="s">
        <v>197</v>
      </c>
      <c r="H26" s="1" t="s">
        <v>226</v>
      </c>
      <c r="I26" s="1" t="s">
        <v>228</v>
      </c>
    </row>
    <row r="27" spans="1:9" x14ac:dyDescent="0.25">
      <c r="A27" s="40" t="s">
        <v>229</v>
      </c>
      <c r="B27" s="1" t="s">
        <v>102</v>
      </c>
      <c r="C27" s="35" t="s">
        <v>179</v>
      </c>
      <c r="D27" s="1" t="s">
        <v>77</v>
      </c>
      <c r="E27" s="1" t="s">
        <v>105</v>
      </c>
      <c r="F27" s="1" t="s">
        <v>112</v>
      </c>
      <c r="G27" t="s">
        <v>197</v>
      </c>
      <c r="H27" s="1" t="s">
        <v>225</v>
      </c>
      <c r="I27" s="1" t="s">
        <v>42</v>
      </c>
    </row>
  </sheetData>
  <mergeCells count="2">
    <mergeCell ref="A1:I1"/>
    <mergeCell ref="A2:I2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23"/>
  <sheetViews>
    <sheetView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51" t="s">
        <v>11</v>
      </c>
      <c r="B1" s="51"/>
      <c r="C1" s="51"/>
      <c r="D1" s="51"/>
      <c r="E1" s="51"/>
      <c r="F1" s="51"/>
      <c r="G1" s="51"/>
      <c r="H1" s="51"/>
      <c r="I1" s="51"/>
    </row>
    <row r="2" spans="1:9" ht="9" customHeight="1" x14ac:dyDescent="0.25">
      <c r="A2" s="6"/>
      <c r="B2" s="7"/>
      <c r="C2" s="7"/>
      <c r="D2" s="7"/>
      <c r="E2" s="7"/>
      <c r="F2" s="7"/>
      <c r="G2" s="7"/>
      <c r="H2" s="7"/>
      <c r="I2" s="7"/>
    </row>
    <row r="3" spans="1:9" ht="18.75" x14ac:dyDescent="0.3">
      <c r="A3" s="8" t="s">
        <v>244</v>
      </c>
      <c r="B3" s="9"/>
      <c r="C3" s="9" t="s">
        <v>241</v>
      </c>
      <c r="D3" s="9"/>
      <c r="E3" s="9" t="s">
        <v>242</v>
      </c>
      <c r="F3" s="10"/>
      <c r="G3" s="10"/>
      <c r="H3" s="9" t="s">
        <v>243</v>
      </c>
      <c r="I3" s="11"/>
    </row>
    <row r="4" spans="1:9" ht="11.25" customHeight="1" thickBot="1" x14ac:dyDescent="0.3">
      <c r="A4" s="6"/>
      <c r="B4" s="7"/>
      <c r="C4" s="7"/>
      <c r="D4" s="7"/>
      <c r="E4" s="7"/>
      <c r="F4" s="7"/>
      <c r="G4" s="7"/>
      <c r="H4" s="7"/>
      <c r="I4" s="7"/>
    </row>
    <row r="5" spans="1:9" ht="16.5" thickBot="1" x14ac:dyDescent="0.3">
      <c r="A5" s="12" t="s">
        <v>0</v>
      </c>
      <c r="B5" s="13" t="s">
        <v>4</v>
      </c>
      <c r="C5" s="14" t="s">
        <v>5</v>
      </c>
      <c r="D5" s="15" t="s">
        <v>12</v>
      </c>
      <c r="E5" s="16" t="s">
        <v>13</v>
      </c>
      <c r="F5" s="13" t="s">
        <v>14</v>
      </c>
      <c r="G5" s="14" t="s">
        <v>14</v>
      </c>
      <c r="H5" s="15" t="s">
        <v>6</v>
      </c>
      <c r="I5" s="14" t="s">
        <v>7</v>
      </c>
    </row>
    <row r="6" spans="1:9" ht="33" customHeight="1" x14ac:dyDescent="0.25">
      <c r="A6" s="17" t="s">
        <v>230</v>
      </c>
      <c r="B6" s="18" t="s">
        <v>70</v>
      </c>
      <c r="C6" s="19" t="s">
        <v>71</v>
      </c>
      <c r="D6" s="20"/>
      <c r="E6" s="21"/>
      <c r="F6" s="18"/>
      <c r="G6" s="19"/>
      <c r="H6" s="20"/>
      <c r="I6" s="19"/>
    </row>
    <row r="7" spans="1:9" ht="33" customHeight="1" x14ac:dyDescent="0.25">
      <c r="A7" s="22" t="s">
        <v>231</v>
      </c>
      <c r="B7" s="23" t="s">
        <v>80</v>
      </c>
      <c r="C7" s="24" t="s">
        <v>81</v>
      </c>
      <c r="D7" s="25"/>
      <c r="E7" s="26"/>
      <c r="F7" s="23"/>
      <c r="G7" s="24"/>
      <c r="H7" s="25"/>
      <c r="I7" s="24"/>
    </row>
    <row r="8" spans="1:9" ht="33" customHeight="1" x14ac:dyDescent="0.25">
      <c r="A8" s="22" t="s">
        <v>232</v>
      </c>
      <c r="B8" s="23" t="s">
        <v>86</v>
      </c>
      <c r="C8" s="24" t="s">
        <v>87</v>
      </c>
      <c r="D8" s="25"/>
      <c r="E8" s="26"/>
      <c r="F8" s="23"/>
      <c r="G8" s="24"/>
      <c r="H8" s="25"/>
      <c r="I8" s="24"/>
    </row>
    <row r="9" spans="1:9" ht="33" customHeight="1" x14ac:dyDescent="0.25">
      <c r="A9" s="22" t="s">
        <v>233</v>
      </c>
      <c r="B9" s="23" t="s">
        <v>92</v>
      </c>
      <c r="C9" s="24" t="s">
        <v>80</v>
      </c>
      <c r="D9" s="25"/>
      <c r="E9" s="26"/>
      <c r="F9" s="23"/>
      <c r="G9" s="24"/>
      <c r="H9" s="25"/>
      <c r="I9" s="24"/>
    </row>
    <row r="10" spans="1:9" ht="33" customHeight="1" x14ac:dyDescent="0.25">
      <c r="A10" s="22" t="s">
        <v>234</v>
      </c>
      <c r="B10" s="23" t="s">
        <v>71</v>
      </c>
      <c r="C10" s="24" t="s">
        <v>86</v>
      </c>
      <c r="D10" s="25"/>
      <c r="E10" s="26"/>
      <c r="F10" s="23"/>
      <c r="G10" s="24"/>
      <c r="H10" s="25"/>
      <c r="I10" s="24"/>
    </row>
    <row r="11" spans="1:9" ht="33" customHeight="1" x14ac:dyDescent="0.25">
      <c r="A11" s="22" t="s">
        <v>235</v>
      </c>
      <c r="B11" s="23" t="s">
        <v>81</v>
      </c>
      <c r="C11" s="24" t="s">
        <v>70</v>
      </c>
      <c r="D11" s="25"/>
      <c r="E11" s="26"/>
      <c r="F11" s="23"/>
      <c r="G11" s="24"/>
      <c r="H11" s="25"/>
      <c r="I11" s="24"/>
    </row>
    <row r="12" spans="1:9" ht="33" customHeight="1" x14ac:dyDescent="0.25">
      <c r="A12" s="22" t="s">
        <v>236</v>
      </c>
      <c r="B12" s="23" t="s">
        <v>80</v>
      </c>
      <c r="C12" s="24" t="s">
        <v>87</v>
      </c>
      <c r="D12" s="25"/>
      <c r="E12" s="26"/>
      <c r="F12" s="23"/>
      <c r="G12" s="24"/>
      <c r="H12" s="25"/>
      <c r="I12" s="24"/>
    </row>
    <row r="13" spans="1:9" ht="33" customHeight="1" x14ac:dyDescent="0.25">
      <c r="A13" s="22" t="s">
        <v>237</v>
      </c>
      <c r="B13" s="23" t="s">
        <v>70</v>
      </c>
      <c r="C13" s="24" t="s">
        <v>92</v>
      </c>
      <c r="D13" s="25"/>
      <c r="E13" s="26"/>
      <c r="F13" s="23"/>
      <c r="G13" s="24"/>
      <c r="H13" s="25"/>
      <c r="I13" s="24"/>
    </row>
    <row r="14" spans="1:9" ht="33" customHeight="1" x14ac:dyDescent="0.25">
      <c r="A14" s="22" t="s">
        <v>238</v>
      </c>
      <c r="B14" s="23" t="s">
        <v>86</v>
      </c>
      <c r="C14" s="24" t="s">
        <v>81</v>
      </c>
      <c r="D14" s="25"/>
      <c r="E14" s="26"/>
      <c r="F14" s="23"/>
      <c r="G14" s="24"/>
      <c r="H14" s="25"/>
      <c r="I14" s="24"/>
    </row>
    <row r="15" spans="1:9" ht="33" customHeight="1" x14ac:dyDescent="0.25">
      <c r="A15" s="22" t="s">
        <v>239</v>
      </c>
      <c r="B15" s="23" t="s">
        <v>71</v>
      </c>
      <c r="C15" s="24" t="s">
        <v>87</v>
      </c>
      <c r="D15" s="25"/>
      <c r="E15" s="26"/>
      <c r="F15" s="23"/>
      <c r="G15" s="24"/>
      <c r="H15" s="25"/>
      <c r="I15" s="24"/>
    </row>
    <row r="16" spans="1:9" ht="33" customHeight="1" x14ac:dyDescent="0.25">
      <c r="A16" s="22" t="s">
        <v>240</v>
      </c>
      <c r="B16" s="23" t="s">
        <v>81</v>
      </c>
      <c r="C16" s="24" t="s">
        <v>92</v>
      </c>
      <c r="D16" s="25"/>
      <c r="E16" s="26"/>
      <c r="F16" s="23"/>
      <c r="G16" s="24"/>
      <c r="H16" s="25"/>
      <c r="I16" s="24"/>
    </row>
    <row r="17" spans="1:9" ht="33" customHeight="1" x14ac:dyDescent="0.25">
      <c r="A17" s="22"/>
      <c r="B17" s="23"/>
      <c r="C17" s="24"/>
      <c r="D17" s="25"/>
      <c r="E17" s="26"/>
      <c r="F17" s="23"/>
      <c r="G17" s="24"/>
      <c r="H17" s="25"/>
      <c r="I17" s="24"/>
    </row>
    <row r="18" spans="1:9" ht="33" customHeight="1" x14ac:dyDescent="0.25">
      <c r="A18" s="22"/>
      <c r="B18" s="23"/>
      <c r="C18" s="24"/>
      <c r="D18" s="25"/>
      <c r="E18" s="26"/>
      <c r="F18" s="23"/>
      <c r="G18" s="24"/>
      <c r="H18" s="25"/>
      <c r="I18" s="24"/>
    </row>
    <row r="19" spans="1:9" ht="33" customHeight="1" x14ac:dyDescent="0.25">
      <c r="A19" s="22"/>
      <c r="B19" s="23"/>
      <c r="C19" s="24"/>
      <c r="D19" s="25"/>
      <c r="E19" s="26"/>
      <c r="F19" s="23"/>
      <c r="G19" s="24"/>
      <c r="H19" s="25"/>
      <c r="I19" s="24"/>
    </row>
    <row r="20" spans="1:9" ht="33" customHeight="1" thickBot="1" x14ac:dyDescent="0.3">
      <c r="A20" s="27"/>
      <c r="B20" s="28"/>
      <c r="C20" s="29"/>
      <c r="D20" s="30"/>
      <c r="E20" s="31"/>
      <c r="F20" s="28"/>
      <c r="G20" s="29"/>
      <c r="H20" s="30"/>
      <c r="I20" s="29"/>
    </row>
    <row r="21" spans="1:9" x14ac:dyDescent="0.25">
      <c r="A21" s="6"/>
      <c r="B21" s="7"/>
      <c r="C21" s="7"/>
      <c r="D21" s="7"/>
      <c r="E21" s="7"/>
      <c r="F21" s="7"/>
      <c r="G21" s="7"/>
      <c r="H21" s="7"/>
      <c r="I21" s="7"/>
    </row>
    <row r="22" spans="1:9" ht="18.75" x14ac:dyDescent="0.3">
      <c r="A22" s="52" t="s">
        <v>15</v>
      </c>
      <c r="B22" s="52"/>
      <c r="C22" s="52"/>
      <c r="D22" s="52"/>
      <c r="E22" s="32"/>
      <c r="F22" s="32"/>
      <c r="G22" s="32"/>
      <c r="H22" s="32"/>
      <c r="I22" s="32"/>
    </row>
    <row r="23" spans="1:9" x14ac:dyDescent="0.25">
      <c r="A23" s="6"/>
      <c r="B23" s="7"/>
      <c r="C23" s="7"/>
      <c r="D23" s="7"/>
      <c r="E23" s="7"/>
      <c r="F23" s="7"/>
      <c r="G23" s="7"/>
      <c r="H23" s="7"/>
      <c r="I23" s="7"/>
    </row>
  </sheetData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I23"/>
  <sheetViews>
    <sheetView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51" t="s">
        <v>11</v>
      </c>
      <c r="B1" s="51"/>
      <c r="C1" s="51"/>
      <c r="D1" s="51"/>
      <c r="E1" s="51"/>
      <c r="F1" s="51"/>
      <c r="G1" s="51"/>
      <c r="H1" s="51"/>
      <c r="I1" s="51"/>
    </row>
    <row r="2" spans="1:9" ht="9" customHeight="1" x14ac:dyDescent="0.25">
      <c r="A2" s="6"/>
      <c r="B2" s="7"/>
      <c r="C2" s="7"/>
      <c r="D2" s="7"/>
      <c r="E2" s="7"/>
      <c r="F2" s="7"/>
      <c r="G2" s="7"/>
      <c r="H2" s="7"/>
      <c r="I2" s="7"/>
    </row>
    <row r="3" spans="1:9" ht="18.75" x14ac:dyDescent="0.3">
      <c r="A3" s="8" t="s">
        <v>256</v>
      </c>
      <c r="B3" s="9"/>
      <c r="C3" s="9" t="s">
        <v>241</v>
      </c>
      <c r="D3" s="9"/>
      <c r="E3" s="9" t="s">
        <v>242</v>
      </c>
      <c r="F3" s="10"/>
      <c r="G3" s="10"/>
      <c r="H3" s="9" t="s">
        <v>243</v>
      </c>
      <c r="I3" s="11"/>
    </row>
    <row r="4" spans="1:9" ht="11.25" customHeight="1" thickBot="1" x14ac:dyDescent="0.3">
      <c r="A4" s="6"/>
      <c r="B4" s="7"/>
      <c r="C4" s="7"/>
      <c r="D4" s="7"/>
      <c r="E4" s="7"/>
      <c r="F4" s="7"/>
      <c r="G4" s="7"/>
      <c r="H4" s="7"/>
      <c r="I4" s="7"/>
    </row>
    <row r="5" spans="1:9" ht="16.5" thickBot="1" x14ac:dyDescent="0.3">
      <c r="A5" s="12" t="s">
        <v>0</v>
      </c>
      <c r="B5" s="13" t="s">
        <v>4</v>
      </c>
      <c r="C5" s="14" t="s">
        <v>5</v>
      </c>
      <c r="D5" s="15" t="s">
        <v>12</v>
      </c>
      <c r="E5" s="16" t="s">
        <v>13</v>
      </c>
      <c r="F5" s="13" t="s">
        <v>14</v>
      </c>
      <c r="G5" s="14" t="s">
        <v>14</v>
      </c>
      <c r="H5" s="15" t="s">
        <v>6</v>
      </c>
      <c r="I5" s="14" t="s">
        <v>7</v>
      </c>
    </row>
    <row r="6" spans="1:9" ht="33" customHeight="1" x14ac:dyDescent="0.25">
      <c r="A6" s="17" t="s">
        <v>245</v>
      </c>
      <c r="B6" s="18" t="s">
        <v>99</v>
      </c>
      <c r="C6" s="19" t="s">
        <v>93</v>
      </c>
      <c r="D6" s="20"/>
      <c r="E6" s="21"/>
      <c r="F6" s="18"/>
      <c r="G6" s="19"/>
      <c r="H6" s="20"/>
      <c r="I6" s="19"/>
    </row>
    <row r="7" spans="1:9" ht="33" customHeight="1" x14ac:dyDescent="0.25">
      <c r="A7" s="22" t="s">
        <v>246</v>
      </c>
      <c r="B7" s="23" t="s">
        <v>105</v>
      </c>
      <c r="C7" s="24" t="s">
        <v>86</v>
      </c>
      <c r="D7" s="25"/>
      <c r="E7" s="26"/>
      <c r="F7" s="23"/>
      <c r="G7" s="24"/>
      <c r="H7" s="25"/>
      <c r="I7" s="24"/>
    </row>
    <row r="8" spans="1:9" ht="33" customHeight="1" x14ac:dyDescent="0.25">
      <c r="A8" s="22" t="s">
        <v>247</v>
      </c>
      <c r="B8" s="23" t="s">
        <v>70</v>
      </c>
      <c r="C8" s="24" t="s">
        <v>108</v>
      </c>
      <c r="D8" s="25"/>
      <c r="E8" s="26"/>
      <c r="F8" s="23"/>
      <c r="G8" s="24"/>
      <c r="H8" s="25"/>
      <c r="I8" s="24"/>
    </row>
    <row r="9" spans="1:9" ht="33" customHeight="1" x14ac:dyDescent="0.25">
      <c r="A9" s="22" t="s">
        <v>248</v>
      </c>
      <c r="B9" s="23" t="s">
        <v>111</v>
      </c>
      <c r="C9" s="24" t="s">
        <v>105</v>
      </c>
      <c r="D9" s="25"/>
      <c r="E9" s="26"/>
      <c r="F9" s="23"/>
      <c r="G9" s="24"/>
      <c r="H9" s="25"/>
      <c r="I9" s="24"/>
    </row>
    <row r="10" spans="1:9" ht="33" customHeight="1" x14ac:dyDescent="0.25">
      <c r="A10" s="22" t="s">
        <v>249</v>
      </c>
      <c r="B10" s="23" t="s">
        <v>93</v>
      </c>
      <c r="C10" s="24" t="s">
        <v>70</v>
      </c>
      <c r="D10" s="25"/>
      <c r="E10" s="26"/>
      <c r="F10" s="23"/>
      <c r="G10" s="24"/>
      <c r="H10" s="25"/>
      <c r="I10" s="24"/>
    </row>
    <row r="11" spans="1:9" ht="33" customHeight="1" x14ac:dyDescent="0.25">
      <c r="A11" s="22" t="s">
        <v>250</v>
      </c>
      <c r="B11" s="23" t="s">
        <v>86</v>
      </c>
      <c r="C11" s="24" t="s">
        <v>99</v>
      </c>
      <c r="D11" s="25"/>
      <c r="E11" s="26"/>
      <c r="F11" s="23"/>
      <c r="G11" s="24"/>
      <c r="H11" s="25"/>
      <c r="I11" s="24"/>
    </row>
    <row r="12" spans="1:9" ht="33" customHeight="1" x14ac:dyDescent="0.25">
      <c r="A12" s="22" t="s">
        <v>251</v>
      </c>
      <c r="B12" s="23" t="s">
        <v>105</v>
      </c>
      <c r="C12" s="24" t="s">
        <v>108</v>
      </c>
      <c r="D12" s="25"/>
      <c r="E12" s="26"/>
      <c r="F12" s="23"/>
      <c r="G12" s="24"/>
      <c r="H12" s="25"/>
      <c r="I12" s="24"/>
    </row>
    <row r="13" spans="1:9" ht="33" customHeight="1" x14ac:dyDescent="0.25">
      <c r="A13" s="22" t="s">
        <v>252</v>
      </c>
      <c r="B13" s="23" t="s">
        <v>99</v>
      </c>
      <c r="C13" s="24" t="s">
        <v>111</v>
      </c>
      <c r="D13" s="25"/>
      <c r="E13" s="26"/>
      <c r="F13" s="23"/>
      <c r="G13" s="24"/>
      <c r="H13" s="25"/>
      <c r="I13" s="24"/>
    </row>
    <row r="14" spans="1:9" ht="33" customHeight="1" x14ac:dyDescent="0.25">
      <c r="A14" s="22" t="s">
        <v>253</v>
      </c>
      <c r="B14" s="23" t="s">
        <v>70</v>
      </c>
      <c r="C14" s="24" t="s">
        <v>86</v>
      </c>
      <c r="D14" s="25"/>
      <c r="E14" s="26"/>
      <c r="F14" s="23"/>
      <c r="G14" s="24"/>
      <c r="H14" s="25"/>
      <c r="I14" s="24"/>
    </row>
    <row r="15" spans="1:9" ht="33" customHeight="1" x14ac:dyDescent="0.25">
      <c r="A15" s="22" t="s">
        <v>254</v>
      </c>
      <c r="B15" s="23" t="s">
        <v>93</v>
      </c>
      <c r="C15" s="24" t="s">
        <v>108</v>
      </c>
      <c r="D15" s="25"/>
      <c r="E15" s="26"/>
      <c r="F15" s="23"/>
      <c r="G15" s="24"/>
      <c r="H15" s="25"/>
      <c r="I15" s="24"/>
    </row>
    <row r="16" spans="1:9" ht="33" customHeight="1" x14ac:dyDescent="0.25">
      <c r="A16" s="22" t="s">
        <v>255</v>
      </c>
      <c r="B16" s="23" t="s">
        <v>86</v>
      </c>
      <c r="C16" s="24" t="s">
        <v>111</v>
      </c>
      <c r="D16" s="25"/>
      <c r="E16" s="26"/>
      <c r="F16" s="23"/>
      <c r="G16" s="24"/>
      <c r="H16" s="25"/>
      <c r="I16" s="24"/>
    </row>
    <row r="17" spans="1:9" ht="33" customHeight="1" x14ac:dyDescent="0.25">
      <c r="A17" s="22"/>
      <c r="B17" s="23"/>
      <c r="C17" s="24"/>
      <c r="D17" s="25"/>
      <c r="E17" s="26"/>
      <c r="F17" s="23"/>
      <c r="G17" s="24"/>
      <c r="H17" s="25"/>
      <c r="I17" s="24"/>
    </row>
    <row r="18" spans="1:9" ht="33" customHeight="1" x14ac:dyDescent="0.25">
      <c r="A18" s="22"/>
      <c r="B18" s="23"/>
      <c r="C18" s="24"/>
      <c r="D18" s="25"/>
      <c r="E18" s="26"/>
      <c r="F18" s="23"/>
      <c r="G18" s="24"/>
      <c r="H18" s="25"/>
      <c r="I18" s="24"/>
    </row>
    <row r="19" spans="1:9" ht="33" customHeight="1" x14ac:dyDescent="0.25">
      <c r="A19" s="22"/>
      <c r="B19" s="23"/>
      <c r="C19" s="24"/>
      <c r="D19" s="25"/>
      <c r="E19" s="26"/>
      <c r="F19" s="23"/>
      <c r="G19" s="24"/>
      <c r="H19" s="25"/>
      <c r="I19" s="24"/>
    </row>
    <row r="20" spans="1:9" ht="33" customHeight="1" thickBot="1" x14ac:dyDescent="0.3">
      <c r="A20" s="27"/>
      <c r="B20" s="28"/>
      <c r="C20" s="29"/>
      <c r="D20" s="30"/>
      <c r="E20" s="31"/>
      <c r="F20" s="28"/>
      <c r="G20" s="29"/>
      <c r="H20" s="30"/>
      <c r="I20" s="29"/>
    </row>
    <row r="21" spans="1:9" x14ac:dyDescent="0.25">
      <c r="A21" s="6"/>
      <c r="B21" s="7"/>
      <c r="C21" s="7"/>
      <c r="D21" s="7"/>
      <c r="E21" s="7"/>
      <c r="F21" s="7"/>
      <c r="G21" s="7"/>
      <c r="H21" s="7"/>
      <c r="I21" s="7"/>
    </row>
    <row r="22" spans="1:9" ht="18.75" x14ac:dyDescent="0.3">
      <c r="A22" s="52" t="s">
        <v>15</v>
      </c>
      <c r="B22" s="52"/>
      <c r="C22" s="52"/>
      <c r="D22" s="52"/>
      <c r="E22" s="32"/>
      <c r="F22" s="32"/>
      <c r="G22" s="32"/>
      <c r="H22" s="32"/>
      <c r="I22" s="32"/>
    </row>
    <row r="23" spans="1:9" x14ac:dyDescent="0.25">
      <c r="A23" s="6"/>
      <c r="B23" s="7"/>
      <c r="C23" s="7"/>
      <c r="D23" s="7"/>
      <c r="E23" s="7"/>
      <c r="F23" s="7"/>
      <c r="G23" s="7"/>
      <c r="H23" s="7"/>
      <c r="I23" s="7"/>
    </row>
  </sheetData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I23"/>
  <sheetViews>
    <sheetView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51" t="s">
        <v>11</v>
      </c>
      <c r="B1" s="51"/>
      <c r="C1" s="51"/>
      <c r="D1" s="51"/>
      <c r="E1" s="51"/>
      <c r="F1" s="51"/>
      <c r="G1" s="51"/>
      <c r="H1" s="51"/>
      <c r="I1" s="51"/>
    </row>
    <row r="2" spans="1:9" ht="9" customHeight="1" x14ac:dyDescent="0.25">
      <c r="A2" s="6"/>
      <c r="B2" s="7"/>
      <c r="C2" s="7"/>
      <c r="D2" s="7"/>
      <c r="E2" s="7"/>
      <c r="F2" s="7"/>
      <c r="G2" s="7"/>
      <c r="H2" s="7"/>
      <c r="I2" s="7"/>
    </row>
    <row r="3" spans="1:9" ht="18.75" x14ac:dyDescent="0.3">
      <c r="A3" s="8" t="s">
        <v>244</v>
      </c>
      <c r="B3" s="9"/>
      <c r="C3" s="9" t="s">
        <v>241</v>
      </c>
      <c r="D3" s="9"/>
      <c r="E3" s="9" t="s">
        <v>242</v>
      </c>
      <c r="F3" s="10"/>
      <c r="G3" s="10"/>
      <c r="H3" s="9" t="s">
        <v>257</v>
      </c>
      <c r="I3" s="11"/>
    </row>
    <row r="4" spans="1:9" ht="11.25" customHeight="1" thickBot="1" x14ac:dyDescent="0.3">
      <c r="A4" s="6"/>
      <c r="B4" s="7"/>
      <c r="C4" s="7"/>
      <c r="D4" s="7"/>
      <c r="E4" s="7"/>
      <c r="F4" s="7"/>
      <c r="G4" s="7"/>
      <c r="H4" s="7"/>
      <c r="I4" s="7"/>
    </row>
    <row r="5" spans="1:9" ht="16.5" thickBot="1" x14ac:dyDescent="0.3">
      <c r="A5" s="12" t="s">
        <v>0</v>
      </c>
      <c r="B5" s="13" t="s">
        <v>4</v>
      </c>
      <c r="C5" s="14" t="s">
        <v>5</v>
      </c>
      <c r="D5" s="15" t="s">
        <v>12</v>
      </c>
      <c r="E5" s="16" t="s">
        <v>13</v>
      </c>
      <c r="F5" s="13" t="s">
        <v>14</v>
      </c>
      <c r="G5" s="14" t="s">
        <v>14</v>
      </c>
      <c r="H5" s="15" t="s">
        <v>6</v>
      </c>
      <c r="I5" s="14" t="s">
        <v>7</v>
      </c>
    </row>
    <row r="6" spans="1:9" ht="33" customHeight="1" x14ac:dyDescent="0.25">
      <c r="A6" s="17" t="s">
        <v>230</v>
      </c>
      <c r="B6" s="18" t="s">
        <v>74</v>
      </c>
      <c r="C6" s="19" t="s">
        <v>75</v>
      </c>
      <c r="D6" s="20"/>
      <c r="E6" s="21"/>
      <c r="F6" s="18"/>
      <c r="G6" s="19"/>
      <c r="H6" s="20"/>
      <c r="I6" s="19"/>
    </row>
    <row r="7" spans="1:9" ht="33" customHeight="1" x14ac:dyDescent="0.25">
      <c r="A7" s="22" t="s">
        <v>231</v>
      </c>
      <c r="B7" s="23" t="s">
        <v>82</v>
      </c>
      <c r="C7" s="24" t="s">
        <v>83</v>
      </c>
      <c r="D7" s="25"/>
      <c r="E7" s="26"/>
      <c r="F7" s="23"/>
      <c r="G7" s="24"/>
      <c r="H7" s="25"/>
      <c r="I7" s="24"/>
    </row>
    <row r="8" spans="1:9" ht="33" customHeight="1" x14ac:dyDescent="0.25">
      <c r="A8" s="22" t="s">
        <v>232</v>
      </c>
      <c r="B8" s="23" t="s">
        <v>88</v>
      </c>
      <c r="C8" s="24" t="s">
        <v>89</v>
      </c>
      <c r="D8" s="25"/>
      <c r="E8" s="26"/>
      <c r="F8" s="23"/>
      <c r="G8" s="24"/>
      <c r="H8" s="25"/>
      <c r="I8" s="24"/>
    </row>
    <row r="9" spans="1:9" ht="33" customHeight="1" x14ac:dyDescent="0.25">
      <c r="A9" s="22" t="s">
        <v>233</v>
      </c>
      <c r="B9" s="23" t="s">
        <v>93</v>
      </c>
      <c r="C9" s="24" t="s">
        <v>82</v>
      </c>
      <c r="D9" s="25"/>
      <c r="E9" s="26"/>
      <c r="F9" s="23"/>
      <c r="G9" s="24"/>
      <c r="H9" s="25"/>
      <c r="I9" s="24"/>
    </row>
    <row r="10" spans="1:9" ht="33" customHeight="1" x14ac:dyDescent="0.25">
      <c r="A10" s="22" t="s">
        <v>234</v>
      </c>
      <c r="B10" s="23" t="s">
        <v>75</v>
      </c>
      <c r="C10" s="24" t="s">
        <v>88</v>
      </c>
      <c r="D10" s="25"/>
      <c r="E10" s="26"/>
      <c r="F10" s="23"/>
      <c r="G10" s="24"/>
      <c r="H10" s="25"/>
      <c r="I10" s="24"/>
    </row>
    <row r="11" spans="1:9" ht="33" customHeight="1" x14ac:dyDescent="0.25">
      <c r="A11" s="22" t="s">
        <v>235</v>
      </c>
      <c r="B11" s="23" t="s">
        <v>83</v>
      </c>
      <c r="C11" s="24" t="s">
        <v>74</v>
      </c>
      <c r="D11" s="25"/>
      <c r="E11" s="26"/>
      <c r="F11" s="23"/>
      <c r="G11" s="24"/>
      <c r="H11" s="25"/>
      <c r="I11" s="24"/>
    </row>
    <row r="12" spans="1:9" ht="33" customHeight="1" x14ac:dyDescent="0.25">
      <c r="A12" s="22" t="s">
        <v>236</v>
      </c>
      <c r="B12" s="23" t="s">
        <v>82</v>
      </c>
      <c r="C12" s="24" t="s">
        <v>89</v>
      </c>
      <c r="D12" s="25"/>
      <c r="E12" s="26"/>
      <c r="F12" s="23"/>
      <c r="G12" s="24"/>
      <c r="H12" s="25"/>
      <c r="I12" s="24"/>
    </row>
    <row r="13" spans="1:9" ht="33" customHeight="1" x14ac:dyDescent="0.25">
      <c r="A13" s="22" t="s">
        <v>237</v>
      </c>
      <c r="B13" s="23" t="s">
        <v>74</v>
      </c>
      <c r="C13" s="24" t="s">
        <v>93</v>
      </c>
      <c r="D13" s="25"/>
      <c r="E13" s="26"/>
      <c r="F13" s="23"/>
      <c r="G13" s="24"/>
      <c r="H13" s="25"/>
      <c r="I13" s="24"/>
    </row>
    <row r="14" spans="1:9" ht="33" customHeight="1" x14ac:dyDescent="0.25">
      <c r="A14" s="22" t="s">
        <v>238</v>
      </c>
      <c r="B14" s="23" t="s">
        <v>88</v>
      </c>
      <c r="C14" s="24" t="s">
        <v>83</v>
      </c>
      <c r="D14" s="25"/>
      <c r="E14" s="26"/>
      <c r="F14" s="23"/>
      <c r="G14" s="24"/>
      <c r="H14" s="25"/>
      <c r="I14" s="24"/>
    </row>
    <row r="15" spans="1:9" ht="33" customHeight="1" x14ac:dyDescent="0.25">
      <c r="A15" s="22" t="s">
        <v>239</v>
      </c>
      <c r="B15" s="23" t="s">
        <v>75</v>
      </c>
      <c r="C15" s="24" t="s">
        <v>89</v>
      </c>
      <c r="D15" s="25"/>
      <c r="E15" s="26"/>
      <c r="F15" s="23"/>
      <c r="G15" s="24"/>
      <c r="H15" s="25"/>
      <c r="I15" s="24"/>
    </row>
    <row r="16" spans="1:9" ht="33" customHeight="1" x14ac:dyDescent="0.25">
      <c r="A16" s="22" t="s">
        <v>240</v>
      </c>
      <c r="B16" s="23" t="s">
        <v>83</v>
      </c>
      <c r="C16" s="24" t="s">
        <v>93</v>
      </c>
      <c r="D16" s="25"/>
      <c r="E16" s="26"/>
      <c r="F16" s="23"/>
      <c r="G16" s="24"/>
      <c r="H16" s="25"/>
      <c r="I16" s="24"/>
    </row>
    <row r="17" spans="1:9" ht="33" customHeight="1" x14ac:dyDescent="0.25">
      <c r="A17" s="22"/>
      <c r="B17" s="23"/>
      <c r="C17" s="24"/>
      <c r="D17" s="25"/>
      <c r="E17" s="26"/>
      <c r="F17" s="23"/>
      <c r="G17" s="24"/>
      <c r="H17" s="25"/>
      <c r="I17" s="24"/>
    </row>
    <row r="18" spans="1:9" ht="33" customHeight="1" x14ac:dyDescent="0.25">
      <c r="A18" s="22"/>
      <c r="B18" s="23"/>
      <c r="C18" s="24"/>
      <c r="D18" s="25"/>
      <c r="E18" s="26"/>
      <c r="F18" s="23"/>
      <c r="G18" s="24"/>
      <c r="H18" s="25"/>
      <c r="I18" s="24"/>
    </row>
    <row r="19" spans="1:9" ht="33" customHeight="1" x14ac:dyDescent="0.25">
      <c r="A19" s="22"/>
      <c r="B19" s="23"/>
      <c r="C19" s="24"/>
      <c r="D19" s="25"/>
      <c r="E19" s="26"/>
      <c r="F19" s="23"/>
      <c r="G19" s="24"/>
      <c r="H19" s="25"/>
      <c r="I19" s="24"/>
    </row>
    <row r="20" spans="1:9" ht="33" customHeight="1" thickBot="1" x14ac:dyDescent="0.3">
      <c r="A20" s="27"/>
      <c r="B20" s="28"/>
      <c r="C20" s="29"/>
      <c r="D20" s="30"/>
      <c r="E20" s="31"/>
      <c r="F20" s="28"/>
      <c r="G20" s="29"/>
      <c r="H20" s="30"/>
      <c r="I20" s="29"/>
    </row>
    <row r="21" spans="1:9" x14ac:dyDescent="0.25">
      <c r="A21" s="6"/>
      <c r="B21" s="7"/>
      <c r="C21" s="7"/>
      <c r="D21" s="7"/>
      <c r="E21" s="7"/>
      <c r="F21" s="7"/>
      <c r="G21" s="7"/>
      <c r="H21" s="7"/>
      <c r="I21" s="7"/>
    </row>
    <row r="22" spans="1:9" ht="18.75" x14ac:dyDescent="0.3">
      <c r="A22" s="52" t="s">
        <v>15</v>
      </c>
      <c r="B22" s="52"/>
      <c r="C22" s="52"/>
      <c r="D22" s="52"/>
      <c r="E22" s="32"/>
      <c r="F22" s="32"/>
      <c r="G22" s="32"/>
      <c r="H22" s="32"/>
      <c r="I22" s="32"/>
    </row>
    <row r="23" spans="1:9" x14ac:dyDescent="0.25">
      <c r="A23" s="6"/>
      <c r="B23" s="7"/>
      <c r="C23" s="7"/>
      <c r="D23" s="7"/>
      <c r="E23" s="7"/>
      <c r="F23" s="7"/>
      <c r="G23" s="7"/>
      <c r="H23" s="7"/>
      <c r="I23" s="7"/>
    </row>
  </sheetData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I23"/>
  <sheetViews>
    <sheetView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51" t="s">
        <v>11</v>
      </c>
      <c r="B1" s="51"/>
      <c r="C1" s="51"/>
      <c r="D1" s="51"/>
      <c r="E1" s="51"/>
      <c r="F1" s="51"/>
      <c r="G1" s="51"/>
      <c r="H1" s="51"/>
      <c r="I1" s="51"/>
    </row>
    <row r="2" spans="1:9" ht="9" customHeight="1" x14ac:dyDescent="0.25">
      <c r="A2" s="6"/>
      <c r="B2" s="7"/>
      <c r="C2" s="7"/>
      <c r="D2" s="7"/>
      <c r="E2" s="7"/>
      <c r="F2" s="7"/>
      <c r="G2" s="7"/>
      <c r="H2" s="7"/>
      <c r="I2" s="7"/>
    </row>
    <row r="3" spans="1:9" ht="18.75" x14ac:dyDescent="0.3">
      <c r="A3" s="8" t="s">
        <v>256</v>
      </c>
      <c r="B3" s="9"/>
      <c r="C3" s="9" t="s">
        <v>241</v>
      </c>
      <c r="D3" s="9"/>
      <c r="E3" s="9" t="s">
        <v>242</v>
      </c>
      <c r="F3" s="10"/>
      <c r="G3" s="10"/>
      <c r="H3" s="9" t="s">
        <v>257</v>
      </c>
      <c r="I3" s="11"/>
    </row>
    <row r="4" spans="1:9" ht="11.25" customHeight="1" thickBot="1" x14ac:dyDescent="0.3">
      <c r="A4" s="6"/>
      <c r="B4" s="7"/>
      <c r="C4" s="7"/>
      <c r="D4" s="7"/>
      <c r="E4" s="7"/>
      <c r="F4" s="7"/>
      <c r="G4" s="7"/>
      <c r="H4" s="7"/>
      <c r="I4" s="7"/>
    </row>
    <row r="5" spans="1:9" ht="16.5" thickBot="1" x14ac:dyDescent="0.3">
      <c r="A5" s="12" t="s">
        <v>0</v>
      </c>
      <c r="B5" s="13" t="s">
        <v>4</v>
      </c>
      <c r="C5" s="14" t="s">
        <v>5</v>
      </c>
      <c r="D5" s="15" t="s">
        <v>12</v>
      </c>
      <c r="E5" s="16" t="s">
        <v>13</v>
      </c>
      <c r="F5" s="13" t="s">
        <v>14</v>
      </c>
      <c r="G5" s="14" t="s">
        <v>14</v>
      </c>
      <c r="H5" s="15" t="s">
        <v>6</v>
      </c>
      <c r="I5" s="14" t="s">
        <v>7</v>
      </c>
    </row>
    <row r="6" spans="1:9" ht="33" customHeight="1" x14ac:dyDescent="0.25">
      <c r="A6" s="17" t="s">
        <v>245</v>
      </c>
      <c r="B6" s="18" t="s">
        <v>83</v>
      </c>
      <c r="C6" s="19" t="s">
        <v>97</v>
      </c>
      <c r="D6" s="20"/>
      <c r="E6" s="21"/>
      <c r="F6" s="18"/>
      <c r="G6" s="19"/>
      <c r="H6" s="20"/>
      <c r="I6" s="19"/>
    </row>
    <row r="7" spans="1:9" ht="33" customHeight="1" x14ac:dyDescent="0.25">
      <c r="A7" s="22" t="s">
        <v>246</v>
      </c>
      <c r="B7" s="23" t="s">
        <v>100</v>
      </c>
      <c r="C7" s="24" t="s">
        <v>101</v>
      </c>
      <c r="D7" s="25"/>
      <c r="E7" s="26"/>
      <c r="F7" s="23"/>
      <c r="G7" s="24"/>
      <c r="H7" s="25"/>
      <c r="I7" s="24"/>
    </row>
    <row r="8" spans="1:9" ht="33" customHeight="1" x14ac:dyDescent="0.25">
      <c r="A8" s="22" t="s">
        <v>247</v>
      </c>
      <c r="B8" s="23" t="s">
        <v>106</v>
      </c>
      <c r="C8" s="24" t="s">
        <v>71</v>
      </c>
      <c r="D8" s="25"/>
      <c r="E8" s="26"/>
      <c r="F8" s="23"/>
      <c r="G8" s="24"/>
      <c r="H8" s="25"/>
      <c r="I8" s="24"/>
    </row>
    <row r="9" spans="1:9" ht="33" customHeight="1" x14ac:dyDescent="0.25">
      <c r="A9" s="22" t="s">
        <v>248</v>
      </c>
      <c r="B9" s="23" t="s">
        <v>80</v>
      </c>
      <c r="C9" s="24" t="s">
        <v>100</v>
      </c>
      <c r="D9" s="25"/>
      <c r="E9" s="26"/>
      <c r="F9" s="23"/>
      <c r="G9" s="24"/>
      <c r="H9" s="25"/>
      <c r="I9" s="24"/>
    </row>
    <row r="10" spans="1:9" ht="33" customHeight="1" x14ac:dyDescent="0.25">
      <c r="A10" s="22" t="s">
        <v>249</v>
      </c>
      <c r="B10" s="23" t="s">
        <v>97</v>
      </c>
      <c r="C10" s="24" t="s">
        <v>106</v>
      </c>
      <c r="D10" s="25"/>
      <c r="E10" s="26"/>
      <c r="F10" s="23"/>
      <c r="G10" s="24"/>
      <c r="H10" s="25"/>
      <c r="I10" s="24"/>
    </row>
    <row r="11" spans="1:9" ht="33" customHeight="1" x14ac:dyDescent="0.25">
      <c r="A11" s="22" t="s">
        <v>250</v>
      </c>
      <c r="B11" s="23" t="s">
        <v>101</v>
      </c>
      <c r="C11" s="24" t="s">
        <v>83</v>
      </c>
      <c r="D11" s="25"/>
      <c r="E11" s="26"/>
      <c r="F11" s="23"/>
      <c r="G11" s="24"/>
      <c r="H11" s="25"/>
      <c r="I11" s="24"/>
    </row>
    <row r="12" spans="1:9" ht="33" customHeight="1" x14ac:dyDescent="0.25">
      <c r="A12" s="22" t="s">
        <v>251</v>
      </c>
      <c r="B12" s="23" t="s">
        <v>100</v>
      </c>
      <c r="C12" s="24" t="s">
        <v>71</v>
      </c>
      <c r="D12" s="25"/>
      <c r="E12" s="26"/>
      <c r="F12" s="23"/>
      <c r="G12" s="24"/>
      <c r="H12" s="25"/>
      <c r="I12" s="24"/>
    </row>
    <row r="13" spans="1:9" ht="33" customHeight="1" x14ac:dyDescent="0.25">
      <c r="A13" s="22" t="s">
        <v>252</v>
      </c>
      <c r="B13" s="23" t="s">
        <v>83</v>
      </c>
      <c r="C13" s="24" t="s">
        <v>80</v>
      </c>
      <c r="D13" s="25"/>
      <c r="E13" s="26"/>
      <c r="F13" s="23"/>
      <c r="G13" s="24"/>
      <c r="H13" s="25"/>
      <c r="I13" s="24"/>
    </row>
    <row r="14" spans="1:9" ht="33" customHeight="1" x14ac:dyDescent="0.25">
      <c r="A14" s="22" t="s">
        <v>253</v>
      </c>
      <c r="B14" s="23" t="s">
        <v>106</v>
      </c>
      <c r="C14" s="24" t="s">
        <v>101</v>
      </c>
      <c r="D14" s="25"/>
      <c r="E14" s="26"/>
      <c r="F14" s="23"/>
      <c r="G14" s="24"/>
      <c r="H14" s="25"/>
      <c r="I14" s="24"/>
    </row>
    <row r="15" spans="1:9" ht="33" customHeight="1" x14ac:dyDescent="0.25">
      <c r="A15" s="22" t="s">
        <v>254</v>
      </c>
      <c r="B15" s="23" t="s">
        <v>97</v>
      </c>
      <c r="C15" s="24" t="s">
        <v>71</v>
      </c>
      <c r="D15" s="25"/>
      <c r="E15" s="26"/>
      <c r="F15" s="23"/>
      <c r="G15" s="24"/>
      <c r="H15" s="25"/>
      <c r="I15" s="24"/>
    </row>
    <row r="16" spans="1:9" ht="33" customHeight="1" x14ac:dyDescent="0.25">
      <c r="A16" s="22" t="s">
        <v>255</v>
      </c>
      <c r="B16" s="23" t="s">
        <v>101</v>
      </c>
      <c r="C16" s="24" t="s">
        <v>80</v>
      </c>
      <c r="D16" s="25"/>
      <c r="E16" s="26"/>
      <c r="F16" s="23"/>
      <c r="G16" s="24"/>
      <c r="H16" s="25"/>
      <c r="I16" s="24"/>
    </row>
    <row r="17" spans="1:9" ht="33" customHeight="1" x14ac:dyDescent="0.25">
      <c r="A17" s="22"/>
      <c r="B17" s="23"/>
      <c r="C17" s="24"/>
      <c r="D17" s="25"/>
      <c r="E17" s="26"/>
      <c r="F17" s="23"/>
      <c r="G17" s="24"/>
      <c r="H17" s="25"/>
      <c r="I17" s="24"/>
    </row>
    <row r="18" spans="1:9" ht="33" customHeight="1" x14ac:dyDescent="0.25">
      <c r="A18" s="22"/>
      <c r="B18" s="23"/>
      <c r="C18" s="24"/>
      <c r="D18" s="25"/>
      <c r="E18" s="26"/>
      <c r="F18" s="23"/>
      <c r="G18" s="24"/>
      <c r="H18" s="25"/>
      <c r="I18" s="24"/>
    </row>
    <row r="19" spans="1:9" ht="33" customHeight="1" x14ac:dyDescent="0.25">
      <c r="A19" s="22"/>
      <c r="B19" s="23"/>
      <c r="C19" s="24"/>
      <c r="D19" s="25"/>
      <c r="E19" s="26"/>
      <c r="F19" s="23"/>
      <c r="G19" s="24"/>
      <c r="H19" s="25"/>
      <c r="I19" s="24"/>
    </row>
    <row r="20" spans="1:9" ht="33" customHeight="1" thickBot="1" x14ac:dyDescent="0.3">
      <c r="A20" s="27"/>
      <c r="B20" s="28"/>
      <c r="C20" s="29"/>
      <c r="D20" s="30"/>
      <c r="E20" s="31"/>
      <c r="F20" s="28"/>
      <c r="G20" s="29"/>
      <c r="H20" s="30"/>
      <c r="I20" s="29"/>
    </row>
    <row r="21" spans="1:9" x14ac:dyDescent="0.25">
      <c r="A21" s="6"/>
      <c r="B21" s="7"/>
      <c r="C21" s="7"/>
      <c r="D21" s="7"/>
      <c r="E21" s="7"/>
      <c r="F21" s="7"/>
      <c r="G21" s="7"/>
      <c r="H21" s="7"/>
      <c r="I21" s="7"/>
    </row>
    <row r="22" spans="1:9" ht="18.75" x14ac:dyDescent="0.3">
      <c r="A22" s="52" t="s">
        <v>15</v>
      </c>
      <c r="B22" s="52"/>
      <c r="C22" s="52"/>
      <c r="D22" s="52"/>
      <c r="E22" s="32"/>
      <c r="F22" s="32"/>
      <c r="G22" s="32"/>
      <c r="H22" s="32"/>
      <c r="I22" s="32"/>
    </row>
    <row r="23" spans="1:9" x14ac:dyDescent="0.25">
      <c r="A23" s="6"/>
      <c r="B23" s="7"/>
      <c r="C23" s="7"/>
      <c r="D23" s="7"/>
      <c r="E23" s="7"/>
      <c r="F23" s="7"/>
      <c r="G23" s="7"/>
      <c r="H23" s="7"/>
      <c r="I23" s="7"/>
    </row>
  </sheetData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I23"/>
  <sheetViews>
    <sheetView topLeftCell="A13"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51" t="s">
        <v>11</v>
      </c>
      <c r="B1" s="51"/>
      <c r="C1" s="51"/>
      <c r="D1" s="51"/>
      <c r="E1" s="51"/>
      <c r="F1" s="51"/>
      <c r="G1" s="51"/>
      <c r="H1" s="51"/>
      <c r="I1" s="51"/>
    </row>
    <row r="2" spans="1:9" ht="9" customHeight="1" x14ac:dyDescent="0.25">
      <c r="A2" s="6"/>
      <c r="B2" s="7"/>
      <c r="C2" s="7"/>
      <c r="D2" s="7"/>
      <c r="E2" s="7"/>
      <c r="F2" s="7"/>
      <c r="G2" s="7"/>
      <c r="H2" s="7"/>
      <c r="I2" s="7"/>
    </row>
    <row r="3" spans="1:9" ht="18.75" x14ac:dyDescent="0.3">
      <c r="A3" s="8" t="s">
        <v>256</v>
      </c>
      <c r="B3" s="9"/>
      <c r="C3" s="9" t="s">
        <v>241</v>
      </c>
      <c r="D3" s="9"/>
      <c r="E3" s="9" t="s">
        <v>242</v>
      </c>
      <c r="F3" s="10"/>
      <c r="G3" s="10"/>
      <c r="H3" s="9" t="s">
        <v>259</v>
      </c>
      <c r="I3" s="11"/>
    </row>
    <row r="4" spans="1:9" ht="11.25" customHeight="1" thickBot="1" x14ac:dyDescent="0.3">
      <c r="A4" s="6"/>
      <c r="B4" s="7"/>
      <c r="C4" s="7"/>
      <c r="D4" s="7"/>
      <c r="E4" s="7"/>
      <c r="F4" s="7"/>
      <c r="G4" s="7"/>
      <c r="H4" s="7"/>
      <c r="I4" s="7"/>
    </row>
    <row r="5" spans="1:9" ht="16.5" thickBot="1" x14ac:dyDescent="0.3">
      <c r="A5" s="12" t="s">
        <v>0</v>
      </c>
      <c r="B5" s="13" t="s">
        <v>4</v>
      </c>
      <c r="C5" s="14" t="s">
        <v>5</v>
      </c>
      <c r="D5" s="15" t="s">
        <v>12</v>
      </c>
      <c r="E5" s="16" t="s">
        <v>13</v>
      </c>
      <c r="F5" s="13" t="s">
        <v>14</v>
      </c>
      <c r="G5" s="14" t="s">
        <v>14</v>
      </c>
      <c r="H5" s="15" t="s">
        <v>6</v>
      </c>
      <c r="I5" s="14" t="s">
        <v>7</v>
      </c>
    </row>
    <row r="6" spans="1:9" ht="33" customHeight="1" x14ac:dyDescent="0.25">
      <c r="A6" s="17" t="s">
        <v>230</v>
      </c>
      <c r="B6" s="18" t="s">
        <v>78</v>
      </c>
      <c r="C6" s="19" t="s">
        <v>79</v>
      </c>
      <c r="D6" s="20"/>
      <c r="E6" s="21"/>
      <c r="F6" s="18"/>
      <c r="G6" s="19"/>
      <c r="H6" s="20"/>
      <c r="I6" s="19"/>
    </row>
    <row r="7" spans="1:9" ht="33" customHeight="1" x14ac:dyDescent="0.25">
      <c r="A7" s="22" t="s">
        <v>231</v>
      </c>
      <c r="B7" s="23" t="s">
        <v>84</v>
      </c>
      <c r="C7" s="24" t="s">
        <v>85</v>
      </c>
      <c r="D7" s="25"/>
      <c r="E7" s="26"/>
      <c r="F7" s="23"/>
      <c r="G7" s="24"/>
      <c r="H7" s="25"/>
      <c r="I7" s="24"/>
    </row>
    <row r="8" spans="1:9" ht="33" customHeight="1" x14ac:dyDescent="0.25">
      <c r="A8" s="22" t="s">
        <v>232</v>
      </c>
      <c r="B8" s="23" t="s">
        <v>90</v>
      </c>
      <c r="C8" s="24" t="s">
        <v>91</v>
      </c>
      <c r="D8" s="25"/>
      <c r="E8" s="26"/>
      <c r="F8" s="23"/>
      <c r="G8" s="24"/>
      <c r="H8" s="25"/>
      <c r="I8" s="24"/>
    </row>
    <row r="9" spans="1:9" ht="33" customHeight="1" x14ac:dyDescent="0.25">
      <c r="A9" s="22" t="s">
        <v>233</v>
      </c>
      <c r="B9" s="23" t="s">
        <v>94</v>
      </c>
      <c r="C9" s="24" t="s">
        <v>95</v>
      </c>
      <c r="D9" s="25"/>
      <c r="E9" s="26"/>
      <c r="F9" s="23"/>
      <c r="G9" s="24"/>
      <c r="H9" s="25"/>
      <c r="I9" s="24"/>
    </row>
    <row r="10" spans="1:9" ht="33" customHeight="1" x14ac:dyDescent="0.25">
      <c r="A10" s="22" t="s">
        <v>234</v>
      </c>
      <c r="B10" s="23" t="s">
        <v>78</v>
      </c>
      <c r="C10" s="24" t="s">
        <v>85</v>
      </c>
      <c r="D10" s="25"/>
      <c r="E10" s="26"/>
      <c r="F10" s="23"/>
      <c r="G10" s="24"/>
      <c r="H10" s="25"/>
      <c r="I10" s="24"/>
    </row>
    <row r="11" spans="1:9" ht="33" customHeight="1" x14ac:dyDescent="0.25">
      <c r="A11" s="22" t="s">
        <v>235</v>
      </c>
      <c r="B11" s="23" t="s">
        <v>79</v>
      </c>
      <c r="C11" s="24" t="s">
        <v>84</v>
      </c>
      <c r="D11" s="25"/>
      <c r="E11" s="26"/>
      <c r="F11" s="23"/>
      <c r="G11" s="24"/>
      <c r="H11" s="25"/>
      <c r="I11" s="24"/>
    </row>
    <row r="12" spans="1:9" ht="33" customHeight="1" x14ac:dyDescent="0.25">
      <c r="A12" s="22" t="s">
        <v>236</v>
      </c>
      <c r="B12" s="23" t="s">
        <v>95</v>
      </c>
      <c r="C12" s="24" t="s">
        <v>90</v>
      </c>
      <c r="D12" s="25"/>
      <c r="E12" s="26"/>
      <c r="F12" s="23"/>
      <c r="G12" s="24"/>
      <c r="H12" s="25"/>
      <c r="I12" s="24"/>
    </row>
    <row r="13" spans="1:9" ht="33" customHeight="1" x14ac:dyDescent="0.25">
      <c r="A13" s="22" t="s">
        <v>237</v>
      </c>
      <c r="B13" s="23" t="s">
        <v>91</v>
      </c>
      <c r="C13" s="24" t="s">
        <v>94</v>
      </c>
      <c r="D13" s="25"/>
      <c r="E13" s="26"/>
      <c r="F13" s="23"/>
      <c r="G13" s="24"/>
      <c r="H13" s="25"/>
      <c r="I13" s="24"/>
    </row>
    <row r="14" spans="1:9" ht="33" customHeight="1" x14ac:dyDescent="0.25">
      <c r="A14" s="22" t="s">
        <v>238</v>
      </c>
      <c r="B14" s="23" t="s">
        <v>85</v>
      </c>
      <c r="C14" s="24" t="s">
        <v>79</v>
      </c>
      <c r="D14" s="25"/>
      <c r="E14" s="26"/>
      <c r="F14" s="23"/>
      <c r="G14" s="24"/>
      <c r="H14" s="25"/>
      <c r="I14" s="24"/>
    </row>
    <row r="15" spans="1:9" ht="33" customHeight="1" x14ac:dyDescent="0.25">
      <c r="A15" s="22" t="s">
        <v>239</v>
      </c>
      <c r="B15" s="23" t="s">
        <v>84</v>
      </c>
      <c r="C15" s="24" t="s">
        <v>78</v>
      </c>
      <c r="D15" s="25"/>
      <c r="E15" s="26"/>
      <c r="F15" s="23"/>
      <c r="G15" s="24"/>
      <c r="H15" s="25"/>
      <c r="I15" s="24"/>
    </row>
    <row r="16" spans="1:9" ht="33" customHeight="1" x14ac:dyDescent="0.25">
      <c r="A16" s="22" t="s">
        <v>240</v>
      </c>
      <c r="B16" s="23" t="s">
        <v>91</v>
      </c>
      <c r="C16" s="24" t="s">
        <v>95</v>
      </c>
      <c r="D16" s="25"/>
      <c r="E16" s="26"/>
      <c r="F16" s="23"/>
      <c r="G16" s="24"/>
      <c r="H16" s="25"/>
      <c r="I16" s="24"/>
    </row>
    <row r="17" spans="1:9" ht="33" customHeight="1" x14ac:dyDescent="0.25">
      <c r="A17" s="22" t="s">
        <v>245</v>
      </c>
      <c r="B17" s="23" t="s">
        <v>94</v>
      </c>
      <c r="C17" s="24" t="s">
        <v>90</v>
      </c>
      <c r="D17" s="25"/>
      <c r="E17" s="26"/>
      <c r="F17" s="23"/>
      <c r="G17" s="24"/>
      <c r="H17" s="25"/>
      <c r="I17" s="24"/>
    </row>
    <row r="18" spans="1:9" ht="33" customHeight="1" x14ac:dyDescent="0.25">
      <c r="A18" s="22" t="s">
        <v>246</v>
      </c>
      <c r="B18" s="23" t="s">
        <v>103</v>
      </c>
      <c r="C18" s="24" t="s">
        <v>104</v>
      </c>
      <c r="D18" s="25"/>
      <c r="E18" s="26"/>
      <c r="F18" s="23"/>
      <c r="G18" s="24"/>
      <c r="H18" s="25"/>
      <c r="I18" s="24"/>
    </row>
    <row r="19" spans="1:9" ht="33" customHeight="1" x14ac:dyDescent="0.25">
      <c r="A19" s="22" t="s">
        <v>247</v>
      </c>
      <c r="B19" s="23" t="s">
        <v>107</v>
      </c>
      <c r="C19" s="24" t="s">
        <v>105</v>
      </c>
      <c r="D19" s="25"/>
      <c r="E19" s="26"/>
      <c r="F19" s="23"/>
      <c r="G19" s="24"/>
      <c r="H19" s="25"/>
      <c r="I19" s="24"/>
    </row>
    <row r="20" spans="1:9" ht="33" customHeight="1" thickBot="1" x14ac:dyDescent="0.3">
      <c r="A20" s="27" t="s">
        <v>248</v>
      </c>
      <c r="B20" s="28" t="s">
        <v>109</v>
      </c>
      <c r="C20" s="29" t="s">
        <v>110</v>
      </c>
      <c r="D20" s="30"/>
      <c r="E20" s="31"/>
      <c r="F20" s="28"/>
      <c r="G20" s="29"/>
      <c r="H20" s="30"/>
      <c r="I20" s="29"/>
    </row>
    <row r="21" spans="1:9" ht="30" x14ac:dyDescent="0.25">
      <c r="A21" s="6" t="s">
        <v>249</v>
      </c>
      <c r="B21" s="7" t="s">
        <v>112</v>
      </c>
      <c r="C21" s="7" t="s">
        <v>107</v>
      </c>
      <c r="D21" s="7"/>
      <c r="E21" s="7"/>
      <c r="F21" s="7"/>
      <c r="G21" s="7"/>
      <c r="H21" s="7"/>
      <c r="I21" s="7"/>
    </row>
    <row r="22" spans="1:9" ht="18.75" x14ac:dyDescent="0.3">
      <c r="A22" s="52" t="s">
        <v>15</v>
      </c>
      <c r="B22" s="52"/>
      <c r="C22" s="52"/>
      <c r="D22" s="52"/>
      <c r="E22" s="32"/>
      <c r="F22" s="32"/>
      <c r="G22" s="32"/>
      <c r="H22" s="32"/>
      <c r="I22" s="32"/>
    </row>
    <row r="23" spans="1:9" x14ac:dyDescent="0.25">
      <c r="A23" s="6"/>
      <c r="B23" s="7"/>
      <c r="C23" s="7"/>
      <c r="D23" s="7"/>
      <c r="E23" s="7"/>
      <c r="F23" s="7"/>
      <c r="G23" s="7"/>
      <c r="H23" s="7"/>
      <c r="I23" s="7"/>
    </row>
  </sheetData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I28"/>
  <sheetViews>
    <sheetView topLeftCell="A16"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51" t="s">
        <v>11</v>
      </c>
      <c r="B1" s="51"/>
      <c r="C1" s="51"/>
      <c r="D1" s="51"/>
      <c r="E1" s="51"/>
      <c r="F1" s="51"/>
      <c r="G1" s="51"/>
      <c r="H1" s="51"/>
      <c r="I1" s="51"/>
    </row>
    <row r="2" spans="1:9" ht="9" customHeight="1" x14ac:dyDescent="0.25">
      <c r="A2" s="6"/>
      <c r="B2" s="7"/>
      <c r="C2" s="7"/>
      <c r="D2" s="7"/>
      <c r="E2" s="7"/>
      <c r="F2" s="7"/>
      <c r="G2" s="7"/>
      <c r="H2" s="7"/>
      <c r="I2" s="7"/>
    </row>
    <row r="3" spans="1:9" ht="18.75" x14ac:dyDescent="0.3">
      <c r="A3" s="8" t="s">
        <v>256</v>
      </c>
      <c r="B3" s="9"/>
      <c r="C3" s="9" t="s">
        <v>241</v>
      </c>
      <c r="D3" s="9"/>
      <c r="E3" s="9" t="s">
        <v>242</v>
      </c>
      <c r="F3" s="10"/>
      <c r="G3" s="10"/>
      <c r="H3" s="9" t="s">
        <v>259</v>
      </c>
      <c r="I3" s="11"/>
    </row>
    <row r="4" spans="1:9" ht="11.25" customHeight="1" thickBot="1" x14ac:dyDescent="0.3">
      <c r="A4" s="6"/>
      <c r="B4" s="7"/>
      <c r="C4" s="7"/>
      <c r="D4" s="7"/>
      <c r="E4" s="7"/>
      <c r="F4" s="7"/>
      <c r="G4" s="7"/>
      <c r="H4" s="7"/>
      <c r="I4" s="7"/>
    </row>
    <row r="5" spans="1:9" ht="16.5" thickBot="1" x14ac:dyDescent="0.3">
      <c r="A5" s="12" t="s">
        <v>0</v>
      </c>
      <c r="B5" s="13" t="s">
        <v>4</v>
      </c>
      <c r="C5" s="14" t="s">
        <v>5</v>
      </c>
      <c r="D5" s="15" t="s">
        <v>12</v>
      </c>
      <c r="E5" s="16" t="s">
        <v>13</v>
      </c>
      <c r="F5" s="13" t="s">
        <v>14</v>
      </c>
      <c r="G5" s="14" t="s">
        <v>14</v>
      </c>
      <c r="H5" s="15" t="s">
        <v>6</v>
      </c>
      <c r="I5" s="14" t="s">
        <v>7</v>
      </c>
    </row>
    <row r="6" spans="1:9" ht="33" customHeight="1" x14ac:dyDescent="0.25">
      <c r="A6" s="17"/>
      <c r="B6" s="18"/>
      <c r="C6" s="19"/>
      <c r="D6" s="20"/>
      <c r="E6" s="21"/>
      <c r="F6" s="18"/>
      <c r="G6" s="19"/>
      <c r="H6" s="20"/>
      <c r="I6" s="19"/>
    </row>
    <row r="7" spans="1:9" ht="33" customHeight="1" x14ac:dyDescent="0.25">
      <c r="A7" s="22"/>
      <c r="B7" s="23"/>
      <c r="C7" s="24"/>
      <c r="D7" s="25"/>
      <c r="E7" s="26"/>
      <c r="F7" s="23"/>
      <c r="G7" s="24"/>
      <c r="H7" s="25"/>
      <c r="I7" s="24"/>
    </row>
    <row r="8" spans="1:9" ht="33" customHeight="1" x14ac:dyDescent="0.25">
      <c r="A8" s="22"/>
      <c r="B8" s="23"/>
      <c r="C8" s="24"/>
      <c r="D8" s="25"/>
      <c r="E8" s="26"/>
      <c r="F8" s="23"/>
      <c r="G8" s="24"/>
      <c r="H8" s="25"/>
      <c r="I8" s="24"/>
    </row>
    <row r="9" spans="1:9" ht="33" customHeight="1" x14ac:dyDescent="0.25">
      <c r="A9" s="22"/>
      <c r="B9" s="23"/>
      <c r="C9" s="24"/>
      <c r="D9" s="25"/>
      <c r="E9" s="26"/>
      <c r="F9" s="23"/>
      <c r="G9" s="24"/>
      <c r="H9" s="25"/>
      <c r="I9" s="24"/>
    </row>
    <row r="10" spans="1:9" ht="33" customHeight="1" x14ac:dyDescent="0.25">
      <c r="A10" s="22"/>
      <c r="B10" s="23"/>
      <c r="C10" s="24"/>
      <c r="D10" s="25"/>
      <c r="E10" s="26"/>
      <c r="F10" s="23"/>
      <c r="G10" s="24"/>
      <c r="H10" s="25"/>
      <c r="I10" s="24"/>
    </row>
    <row r="11" spans="1:9" ht="33" customHeight="1" x14ac:dyDescent="0.25">
      <c r="A11" s="22"/>
      <c r="B11" s="23"/>
      <c r="C11" s="24"/>
      <c r="D11" s="25"/>
      <c r="E11" s="26"/>
      <c r="F11" s="23"/>
      <c r="G11" s="24"/>
      <c r="H11" s="25"/>
      <c r="I11" s="24"/>
    </row>
    <row r="12" spans="1:9" ht="33" customHeight="1" x14ac:dyDescent="0.25">
      <c r="A12" s="22"/>
      <c r="B12" s="23"/>
      <c r="C12" s="24"/>
      <c r="D12" s="25"/>
      <c r="E12" s="26"/>
      <c r="F12" s="23"/>
      <c r="G12" s="24"/>
      <c r="H12" s="25"/>
      <c r="I12" s="24"/>
    </row>
    <row r="13" spans="1:9" ht="33" customHeight="1" x14ac:dyDescent="0.25">
      <c r="A13" s="22"/>
      <c r="B13" s="23"/>
      <c r="C13" s="24"/>
      <c r="D13" s="25"/>
      <c r="E13" s="26"/>
      <c r="F13" s="23"/>
      <c r="G13" s="24"/>
      <c r="H13" s="25"/>
      <c r="I13" s="24"/>
    </row>
    <row r="14" spans="1:9" ht="33" customHeight="1" x14ac:dyDescent="0.25">
      <c r="A14" s="22"/>
      <c r="B14" s="23"/>
      <c r="C14" s="24"/>
      <c r="D14" s="25"/>
      <c r="E14" s="26"/>
      <c r="F14" s="23"/>
      <c r="G14" s="24"/>
      <c r="H14" s="25"/>
      <c r="I14" s="24"/>
    </row>
    <row r="15" spans="1:9" ht="33" customHeight="1" x14ac:dyDescent="0.25">
      <c r="A15" s="22"/>
      <c r="B15" s="23"/>
      <c r="C15" s="24"/>
      <c r="D15" s="25"/>
      <c r="E15" s="26"/>
      <c r="F15" s="23"/>
      <c r="G15" s="24"/>
      <c r="H15" s="25"/>
      <c r="I15" s="24"/>
    </row>
    <row r="16" spans="1:9" ht="33" customHeight="1" x14ac:dyDescent="0.25">
      <c r="A16" s="22"/>
      <c r="B16" s="23"/>
      <c r="C16" s="24"/>
      <c r="D16" s="25"/>
      <c r="E16" s="26"/>
      <c r="F16" s="23"/>
      <c r="G16" s="24"/>
      <c r="H16" s="25"/>
      <c r="I16" s="24"/>
    </row>
    <row r="17" spans="1:9" ht="33" customHeight="1" x14ac:dyDescent="0.25">
      <c r="A17" s="22"/>
      <c r="B17" s="23"/>
      <c r="C17" s="24"/>
      <c r="D17" s="25"/>
      <c r="E17" s="26"/>
      <c r="F17" s="23"/>
      <c r="G17" s="24"/>
      <c r="H17" s="25"/>
      <c r="I17" s="24"/>
    </row>
    <row r="18" spans="1:9" ht="33" customHeight="1" x14ac:dyDescent="0.25">
      <c r="A18" s="22"/>
      <c r="B18" s="23"/>
      <c r="C18" s="24"/>
      <c r="D18" s="25"/>
      <c r="E18" s="26"/>
      <c r="F18" s="23"/>
      <c r="G18" s="24"/>
      <c r="H18" s="25"/>
      <c r="I18" s="24"/>
    </row>
    <row r="19" spans="1:9" ht="33" customHeight="1" x14ac:dyDescent="0.25">
      <c r="A19" s="22"/>
      <c r="B19" s="23"/>
      <c r="C19" s="24"/>
      <c r="D19" s="25"/>
      <c r="E19" s="26"/>
      <c r="F19" s="23"/>
      <c r="G19" s="24"/>
      <c r="H19" s="25"/>
      <c r="I19" s="24"/>
    </row>
    <row r="20" spans="1:9" ht="33" customHeight="1" thickBot="1" x14ac:dyDescent="0.3">
      <c r="A20" s="27" t="s">
        <v>248</v>
      </c>
      <c r="B20" s="28" t="s">
        <v>109</v>
      </c>
      <c r="C20" s="29" t="s">
        <v>110</v>
      </c>
      <c r="D20" s="30"/>
      <c r="E20" s="31"/>
      <c r="F20" s="28"/>
      <c r="G20" s="29"/>
      <c r="H20" s="30"/>
      <c r="I20" s="29"/>
    </row>
    <row r="21" spans="1:9" ht="30" x14ac:dyDescent="0.25">
      <c r="A21" s="6" t="s">
        <v>249</v>
      </c>
      <c r="B21" s="7" t="s">
        <v>112</v>
      </c>
      <c r="C21" s="7" t="s">
        <v>107</v>
      </c>
      <c r="D21" s="7"/>
      <c r="E21" s="7"/>
      <c r="F21" s="7"/>
      <c r="G21" s="7"/>
      <c r="H21" s="7"/>
      <c r="I21" s="7"/>
    </row>
    <row r="22" spans="1:9" ht="18.75" x14ac:dyDescent="0.3">
      <c r="A22" s="52" t="s">
        <v>250</v>
      </c>
      <c r="B22" s="52"/>
      <c r="C22" s="52"/>
      <c r="D22" s="52"/>
      <c r="E22" s="32"/>
      <c r="F22" s="32"/>
      <c r="G22" s="32"/>
      <c r="H22" s="32"/>
      <c r="I22" s="32"/>
    </row>
    <row r="23" spans="1:9" ht="30" x14ac:dyDescent="0.25">
      <c r="A23" s="6" t="s">
        <v>251</v>
      </c>
      <c r="B23" s="7" t="s">
        <v>105</v>
      </c>
      <c r="C23" s="7" t="s">
        <v>103</v>
      </c>
      <c r="D23" s="7"/>
      <c r="E23" s="7"/>
      <c r="F23" s="7"/>
      <c r="G23" s="7"/>
      <c r="H23" s="7"/>
      <c r="I23" s="7"/>
    </row>
    <row r="24" spans="1:9" x14ac:dyDescent="0.25">
      <c r="A24" t="s">
        <v>252</v>
      </c>
      <c r="B24" t="s">
        <v>107</v>
      </c>
      <c r="C24" t="s">
        <v>110</v>
      </c>
    </row>
    <row r="25" spans="1:9" x14ac:dyDescent="0.25">
      <c r="A25" t="s">
        <v>253</v>
      </c>
      <c r="B25" t="s">
        <v>103</v>
      </c>
      <c r="C25" t="s">
        <v>112</v>
      </c>
    </row>
    <row r="26" spans="1:9" x14ac:dyDescent="0.25">
      <c r="A26" t="s">
        <v>254</v>
      </c>
      <c r="B26" t="s">
        <v>109</v>
      </c>
      <c r="C26" t="s">
        <v>105</v>
      </c>
    </row>
    <row r="27" spans="1:9" x14ac:dyDescent="0.25">
      <c r="A27" t="s">
        <v>255</v>
      </c>
      <c r="B27" t="s">
        <v>104</v>
      </c>
      <c r="C27" t="s">
        <v>110</v>
      </c>
    </row>
    <row r="28" spans="1:9" x14ac:dyDescent="0.25">
      <c r="A28" t="s">
        <v>258</v>
      </c>
      <c r="B28" t="s">
        <v>105</v>
      </c>
      <c r="C28" t="s">
        <v>112</v>
      </c>
    </row>
  </sheetData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D10"/>
  <sheetViews>
    <sheetView workbookViewId="0">
      <selection sqref="A1:D2"/>
    </sheetView>
  </sheetViews>
  <sheetFormatPr defaultRowHeight="15" x14ac:dyDescent="0.25"/>
  <cols>
    <col min="1" max="1" width="13.7109375" bestFit="1" customWidth="1"/>
    <col min="2" max="2" width="14.5703125" bestFit="1" customWidth="1"/>
    <col min="3" max="3" width="25.85546875" bestFit="1" customWidth="1"/>
    <col min="4" max="4" width="9.42578125" bestFit="1" customWidth="1"/>
  </cols>
  <sheetData>
    <row r="1" spans="1:4" x14ac:dyDescent="0.25">
      <c r="A1" s="48" t="s">
        <v>260</v>
      </c>
      <c r="B1" s="48"/>
      <c r="C1" s="48"/>
      <c r="D1" s="48"/>
    </row>
    <row r="2" spans="1:4" x14ac:dyDescent="0.25">
      <c r="A2" s="48" t="s">
        <v>261</v>
      </c>
      <c r="B2" s="48" t="s">
        <v>262</v>
      </c>
      <c r="C2" s="48" t="s">
        <v>263</v>
      </c>
      <c r="D2" s="48" t="s">
        <v>264</v>
      </c>
    </row>
    <row r="3" spans="1:4" x14ac:dyDescent="0.25">
      <c r="A3" t="s">
        <v>70</v>
      </c>
      <c r="B3">
        <v>6</v>
      </c>
      <c r="C3">
        <v>6</v>
      </c>
      <c r="D3">
        <v>480</v>
      </c>
    </row>
    <row r="4" spans="1:4" x14ac:dyDescent="0.25">
      <c r="A4" t="s">
        <v>80</v>
      </c>
      <c r="B4">
        <v>3</v>
      </c>
      <c r="C4">
        <v>3</v>
      </c>
      <c r="D4">
        <v>240</v>
      </c>
    </row>
    <row r="5" spans="1:4" x14ac:dyDescent="0.25">
      <c r="A5" t="s">
        <v>86</v>
      </c>
      <c r="B5">
        <v>6</v>
      </c>
      <c r="C5">
        <v>6</v>
      </c>
      <c r="D5">
        <v>480</v>
      </c>
    </row>
    <row r="6" spans="1:4" x14ac:dyDescent="0.25">
      <c r="A6" t="s">
        <v>92</v>
      </c>
      <c r="B6">
        <v>6</v>
      </c>
      <c r="C6">
        <v>6</v>
      </c>
      <c r="D6">
        <v>480</v>
      </c>
    </row>
    <row r="7" spans="1:4" x14ac:dyDescent="0.25">
      <c r="A7" t="s">
        <v>71</v>
      </c>
      <c r="B7">
        <v>7</v>
      </c>
      <c r="C7">
        <v>7</v>
      </c>
      <c r="D7">
        <v>560</v>
      </c>
    </row>
    <row r="8" spans="1:4" x14ac:dyDescent="0.25">
      <c r="A8" t="s">
        <v>81</v>
      </c>
      <c r="B8">
        <v>7</v>
      </c>
      <c r="C8">
        <v>7</v>
      </c>
      <c r="D8">
        <v>560</v>
      </c>
    </row>
    <row r="9" spans="1:4" x14ac:dyDescent="0.25">
      <c r="A9" t="s">
        <v>87</v>
      </c>
      <c r="B9">
        <v>6</v>
      </c>
      <c r="C9">
        <v>6</v>
      </c>
      <c r="D9">
        <v>480</v>
      </c>
    </row>
    <row r="10" spans="1:4" x14ac:dyDescent="0.25">
      <c r="A10" t="s">
        <v>82</v>
      </c>
      <c r="B10">
        <v>3</v>
      </c>
      <c r="C10">
        <v>3</v>
      </c>
      <c r="D10">
        <v>240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D19"/>
  <sheetViews>
    <sheetView workbookViewId="0">
      <selection sqref="A1:D2"/>
    </sheetView>
  </sheetViews>
  <sheetFormatPr defaultRowHeight="15" x14ac:dyDescent="0.25"/>
  <cols>
    <col min="1" max="1" width="15.28515625" bestFit="1" customWidth="1"/>
    <col min="2" max="2" width="14.5703125" bestFit="1" customWidth="1"/>
    <col min="3" max="3" width="25.85546875" bestFit="1" customWidth="1"/>
    <col min="4" max="4" width="9.42578125" bestFit="1" customWidth="1"/>
  </cols>
  <sheetData>
    <row r="1" spans="1:4" x14ac:dyDescent="0.25">
      <c r="A1" s="48" t="s">
        <v>265</v>
      </c>
      <c r="B1" s="48"/>
      <c r="C1" s="48"/>
      <c r="D1" s="48"/>
    </row>
    <row r="2" spans="1:4" x14ac:dyDescent="0.25">
      <c r="A2" s="48" t="s">
        <v>261</v>
      </c>
      <c r="B2" s="48" t="s">
        <v>262</v>
      </c>
      <c r="C2" s="48" t="s">
        <v>263</v>
      </c>
      <c r="D2" s="48" t="s">
        <v>264</v>
      </c>
    </row>
    <row r="3" spans="1:4" x14ac:dyDescent="0.25">
      <c r="A3" t="s">
        <v>108</v>
      </c>
      <c r="B3">
        <v>9</v>
      </c>
      <c r="C3">
        <v>9</v>
      </c>
      <c r="D3">
        <v>720</v>
      </c>
    </row>
    <row r="4" spans="1:4" x14ac:dyDescent="0.25">
      <c r="A4" t="s">
        <v>105</v>
      </c>
      <c r="B4">
        <v>10</v>
      </c>
      <c r="C4">
        <v>10</v>
      </c>
      <c r="D4">
        <v>800</v>
      </c>
    </row>
    <row r="5" spans="1:4" x14ac:dyDescent="0.25">
      <c r="A5" t="s">
        <v>70</v>
      </c>
      <c r="B5">
        <v>3</v>
      </c>
      <c r="C5">
        <v>3</v>
      </c>
      <c r="D5">
        <v>240</v>
      </c>
    </row>
    <row r="6" spans="1:4" x14ac:dyDescent="0.25">
      <c r="A6" t="s">
        <v>111</v>
      </c>
      <c r="B6">
        <v>3</v>
      </c>
      <c r="C6">
        <v>3</v>
      </c>
      <c r="D6">
        <v>240</v>
      </c>
    </row>
    <row r="7" spans="1:4" x14ac:dyDescent="0.25">
      <c r="A7" t="s">
        <v>86</v>
      </c>
      <c r="B7">
        <v>7</v>
      </c>
      <c r="C7">
        <v>7</v>
      </c>
      <c r="D7">
        <v>560</v>
      </c>
    </row>
    <row r="8" spans="1:4" x14ac:dyDescent="0.25">
      <c r="A8" t="s">
        <v>71</v>
      </c>
      <c r="B8">
        <v>6</v>
      </c>
      <c r="C8">
        <v>6</v>
      </c>
      <c r="D8">
        <v>480</v>
      </c>
    </row>
    <row r="9" spans="1:4" x14ac:dyDescent="0.25">
      <c r="A9" t="s">
        <v>100</v>
      </c>
      <c r="B9">
        <v>3</v>
      </c>
      <c r="C9">
        <v>3</v>
      </c>
      <c r="D9">
        <v>240</v>
      </c>
    </row>
    <row r="10" spans="1:4" x14ac:dyDescent="0.25">
      <c r="A10" t="s">
        <v>80</v>
      </c>
      <c r="B10">
        <v>6</v>
      </c>
      <c r="C10">
        <v>6</v>
      </c>
      <c r="D10">
        <v>480</v>
      </c>
    </row>
    <row r="11" spans="1:4" x14ac:dyDescent="0.25">
      <c r="A11" t="s">
        <v>101</v>
      </c>
      <c r="B11">
        <v>10</v>
      </c>
      <c r="C11">
        <v>10</v>
      </c>
      <c r="D11">
        <v>800</v>
      </c>
    </row>
    <row r="12" spans="1:4" x14ac:dyDescent="0.25">
      <c r="A12" t="s">
        <v>78</v>
      </c>
      <c r="B12">
        <v>6</v>
      </c>
      <c r="C12">
        <v>6</v>
      </c>
      <c r="D12">
        <v>480</v>
      </c>
    </row>
    <row r="13" spans="1:4" x14ac:dyDescent="0.25">
      <c r="A13" t="s">
        <v>84</v>
      </c>
      <c r="B13">
        <v>6</v>
      </c>
      <c r="C13">
        <v>6</v>
      </c>
      <c r="D13">
        <v>480</v>
      </c>
    </row>
    <row r="14" spans="1:4" x14ac:dyDescent="0.25">
      <c r="A14" t="s">
        <v>79</v>
      </c>
      <c r="B14">
        <v>6</v>
      </c>
      <c r="C14">
        <v>6</v>
      </c>
      <c r="D14">
        <v>480</v>
      </c>
    </row>
    <row r="15" spans="1:4" x14ac:dyDescent="0.25">
      <c r="A15" t="s">
        <v>95</v>
      </c>
      <c r="B15">
        <v>3</v>
      </c>
      <c r="C15">
        <v>3</v>
      </c>
      <c r="D15">
        <v>240</v>
      </c>
    </row>
    <row r="16" spans="1:4" x14ac:dyDescent="0.25">
      <c r="A16" t="s">
        <v>85</v>
      </c>
      <c r="B16">
        <v>3</v>
      </c>
      <c r="C16">
        <v>3</v>
      </c>
      <c r="D16">
        <v>240</v>
      </c>
    </row>
    <row r="17" spans="1:4" x14ac:dyDescent="0.25">
      <c r="A17" t="s">
        <v>103</v>
      </c>
      <c r="B17">
        <v>3</v>
      </c>
      <c r="C17">
        <v>3</v>
      </c>
      <c r="D17">
        <v>240</v>
      </c>
    </row>
    <row r="18" spans="1:4" x14ac:dyDescent="0.25">
      <c r="A18" t="s">
        <v>109</v>
      </c>
      <c r="B18">
        <v>3</v>
      </c>
      <c r="C18">
        <v>3</v>
      </c>
      <c r="D18">
        <v>240</v>
      </c>
    </row>
    <row r="19" spans="1:4" x14ac:dyDescent="0.25">
      <c r="A19" t="s">
        <v>112</v>
      </c>
      <c r="B19">
        <v>3</v>
      </c>
      <c r="C19">
        <v>3</v>
      </c>
      <c r="D19">
        <v>240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7</vt:i4>
      </vt:variant>
    </vt:vector>
  </HeadingPairs>
  <TitlesOfParts>
    <vt:vector size="22" baseType="lpstr">
      <vt:lpstr>Hjelp</vt:lpstr>
      <vt:lpstr>Grunndata</vt:lpstr>
      <vt:lpstr>Kamprapport mal</vt:lpstr>
      <vt:lpstr>Dommere</vt:lpstr>
      <vt:lpstr>Slagenhallen 1</vt:lpstr>
      <vt:lpstr>Slagenhallen 2</vt:lpstr>
      <vt:lpstr>Slagenhallen 3</vt:lpstr>
      <vt:lpstr>Kamprapport bane 1  G10 ( s1 )</vt:lpstr>
      <vt:lpstr>Kamprapport bane 1  G9  ( s1 )</vt:lpstr>
      <vt:lpstr>Kamprapport bane 2  G10 ( s1 )</vt:lpstr>
      <vt:lpstr>Kamprapport bane 2  G9  ( s1 )</vt:lpstr>
      <vt:lpstr>Kamprapport bane 3  G9  ( s1 )</vt:lpstr>
      <vt:lpstr>Kamprapport bane 3  G9  ( s2 )</vt:lpstr>
      <vt:lpstr>Lag  G10</vt:lpstr>
      <vt:lpstr>Lag  G9 </vt:lpstr>
      <vt:lpstr>'Kamprapport bane 1  G10 ( s1 )'!Print_Area</vt:lpstr>
      <vt:lpstr>'Kamprapport bane 1  G9  ( s1 )'!Print_Area</vt:lpstr>
      <vt:lpstr>'Kamprapport bane 2  G10 ( s1 )'!Print_Area</vt:lpstr>
      <vt:lpstr>'Kamprapport bane 2  G9  ( s1 )'!Print_Area</vt:lpstr>
      <vt:lpstr>'Kamprapport bane 3  G9  ( s1 )'!Print_Area</vt:lpstr>
      <vt:lpstr>'Kamprapport bane 3  G9  ( s2 )'!Print_Area</vt:lpstr>
      <vt:lpstr>'Kamprapport mal'!Print_Area</vt:lpstr>
    </vt:vector>
  </TitlesOfParts>
  <Company>Making Waves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Martinsen</dc:creator>
  <cp:lastModifiedBy>Erik Martinsen</cp:lastModifiedBy>
  <cp:lastPrinted>2017-03-07T14:40:37Z</cp:lastPrinted>
  <dcterms:created xsi:type="dcterms:W3CDTF">2017-02-16T05:22:27Z</dcterms:created>
  <dcterms:modified xsi:type="dcterms:W3CDTF">2017-04-07T04:10:37Z</dcterms:modified>
</cp:coreProperties>
</file>