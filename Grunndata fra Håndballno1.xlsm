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4" activeTab="14"/>
  </bookViews>
  <sheets>
    <sheet name="Grunndata" sheetId="1" r:id="rId1"/>
    <sheet name="Kamprapport mal" sheetId="43" r:id="rId2"/>
    <sheet name="Dommere" sheetId="199" r:id="rId3"/>
    <sheet name="Flinthallen Minibane 1" sheetId="252" r:id="rId4"/>
    <sheet name="Flinthallen Minibane 2" sheetId="253" r:id="rId5"/>
    <sheet name="Kamprapport bane 1  J7 " sheetId="255" r:id="rId6"/>
    <sheet name="Kamprapport bane 1  G6 " sheetId="257" r:id="rId7"/>
    <sheet name="Kamprapport bane 1  J8 " sheetId="260" r:id="rId8"/>
    <sheet name="Kamprapport bane 2  G6 " sheetId="263" r:id="rId9"/>
    <sheet name="Kamprapport bane 2  J6 " sheetId="265" r:id="rId10"/>
    <sheet name="Kamprapport bane 2  J8 " sheetId="267" r:id="rId11"/>
    <sheet name="Lag  J7 " sheetId="269" r:id="rId12"/>
    <sheet name="Lag  G6 " sheetId="271" r:id="rId13"/>
    <sheet name="Lag  J6 " sheetId="273" r:id="rId14"/>
    <sheet name="Lag  J8 " sheetId="275" r:id="rId15"/>
  </sheets>
  <functionGroups builtInGroupCount="18"/>
  <definedNames>
    <definedName name="_xlnm._FilterDatabase" localSheetId="0" hidden="1">Grunndata!$E$5:$I$45</definedName>
    <definedName name="_xlnm.Print_Area" localSheetId="6">'Kamprapport bane 1  G6 '!$A$1:$I$24</definedName>
    <definedName name="_xlnm.Print_Area" localSheetId="5">'Kamprapport bane 1  J7 '!$A$1:$I$24</definedName>
    <definedName name="_xlnm.Print_Area" localSheetId="7">'Kamprapport bane 1  J8 '!$A$1:$I$24</definedName>
    <definedName name="_xlnm.Print_Area" localSheetId="8">'Kamprapport bane 2  G6 '!$A$1:$I$24</definedName>
    <definedName name="_xlnm.Print_Area" localSheetId="9">'Kamprapport bane 2  J6 '!$A$1:$I$24</definedName>
    <definedName name="_xlnm.Print_Area" localSheetId="10">'Kamprapport bane 2  J8 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<sst xmlns="http://schemas.openxmlformats.org/spreadsheetml/2006/main" count="945" uniqueCount="179">
  <si>
    <t>Tid</t>
  </si>
  <si>
    <t>Turnering</t>
  </si>
  <si>
    <t>Kampnr</t>
  </si>
  <si>
    <t>Bane</t>
  </si>
  <si>
    <t>Hjemmelag</t>
  </si>
  <si>
    <t>Bortelag</t>
  </si>
  <si>
    <t>Flint Tønsberg</t>
  </si>
  <si>
    <t>HG Gokstad</t>
  </si>
  <si>
    <t>Flint Tønsberg 2</t>
  </si>
  <si>
    <t>Flint Tønsberg 3</t>
  </si>
  <si>
    <t>Nøtterøy</t>
  </si>
  <si>
    <t>Nøtterøy 2</t>
  </si>
  <si>
    <t>Flint Tønsberg 4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</si>
  <si>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</si>
  <si>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</si>
  <si>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</si>
  <si>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</si>
  <si>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</si>
  <si>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</si>
  <si>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</si>
  <si>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</si>
  <si>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</si>
  <si>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</si>
  <si>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</si>
  <si>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</si>
  <si>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</si>
  <si>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</si>
  <si>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</si>
  <si>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</si>
  <si>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</si>
  <si>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</si>
  <si>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</si>
  <si>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</si>
  <si>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</si>
  <si>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</si>
  <si>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</si>
  <si>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</si>
  <si>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</si>
  <si>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</si>
  <si>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</si>
  <si>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</si>
  <si>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</si>
  <si>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</si>
  <si>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</si>
  <si>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</si>
  <si>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</si>
  <si>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</si>
  <si>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</si>
  <si>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</si>
  <si>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</si>
  <si>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</si>
  <si>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</si>
  <si>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</si>
  <si>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</si>
  <si>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</si>
  <si>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</si>
  <si>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</si>
  <si>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</si>
  <si>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</si>
  <si>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</si>
  <si>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</si>
  <si>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</si>
  <si>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</si>
  <si>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</si>
  <si>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</si>
  <si>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</si>
  <si>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</si>
  <si>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</si>
  <si>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</si>
  <si>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</si>
  <si>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</si>
  <si>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</si>
  <si>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</si>
  <si>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</si>
  <si>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</si>
  <si>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</si>
  <si>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</si>
  <si>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</si>
  <si>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</si>
  <si>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</si>
  <si>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</si>
  <si>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</si>
  <si>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</si>
  <si>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</si>
  <si>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</si>
  <si>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</si>
  <si>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</si>
  <si>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</si>
  <si>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</si>
  <si>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</si>
  <si>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</si>
  <si>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</si>
  <si>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</si>
  <si>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</si>
  <si>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</si>
  <si>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</si>
  <si>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</si>
  <si>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</si>
  <si>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</si>
  <si>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</si>
  <si>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</si>
  <si>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</si>
  <si>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</si>
  <si>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</si>
  <si>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</si>
  <si>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</si>
  <si>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</si>
  <si>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</si>
  <si>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</si>
  <si>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</si>
  <si>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</si>
  <si>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</si>
  <si>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 xml:space="preserve"> J7 </t>
  </si>
  <si>
    <t xml:space="preserve">Lag: </t>
  </si>
  <si>
    <t xml:space="preserve">Antall kamper: </t>
  </si>
  <si>
    <t xml:space="preserve">Betale for antall dommere: </t>
  </si>
  <si>
    <t xml:space="preserve"> G6 </t>
  </si>
  <si>
    <t xml:space="preserve"> J6 </t>
  </si>
  <si>
    <t xml:space="preserve"> J8 </t>
  </si>
  <si>
    <t>Banedagbok</t>
  </si>
  <si>
    <t>(09:55) 10:00 - 10:15</t>
  </si>
  <si>
    <t>(10:15) 10:20 - 10:35</t>
  </si>
  <si>
    <t>(10:35) 10:40 - 10:55</t>
  </si>
  <si>
    <t>(10:55) 11:00 - 11:15</t>
  </si>
  <si>
    <t>(11:15) 11:20 - 11:35</t>
  </si>
  <si>
    <t>(11:35) 11:40 - 11:55</t>
  </si>
  <si>
    <t>(23:55) 00:00 - 00:15</t>
  </si>
  <si>
    <t>(12:15) 12:20 - 12:35</t>
  </si>
  <si>
    <t>(12:35) 12:40 - 12:55</t>
  </si>
  <si>
    <t>(12:55) 13:00 - 13:15</t>
  </si>
  <si>
    <t>(13:15) 13:20 - 13:35</t>
  </si>
  <si>
    <t>(13:35) 13:40 - 13:55</t>
  </si>
  <si>
    <t>(13:55) 14:00 - 14:15</t>
  </si>
  <si>
    <t>(14:15) 14:20 - 14:35</t>
  </si>
  <si>
    <t>(14:35) 14:40 - 14:55</t>
  </si>
  <si>
    <t>(14:55) 15:00 - 15:15</t>
  </si>
  <si>
    <t>(15:15) 15:20 - 15:35</t>
  </si>
  <si>
    <t>(15:35) 15:40 - 15:55</t>
  </si>
  <si>
    <t>(15:55) 16:00 - 16:15</t>
  </si>
  <si>
    <t>(16:15) 16:20 - 16:35</t>
  </si>
  <si>
    <t>10:00 - 10:15</t>
  </si>
  <si>
    <t>10:20 - 10:35</t>
  </si>
  <si>
    <t>10:40 - 10:55</t>
  </si>
  <si>
    <t>11:00 - 11:15</t>
  </si>
  <si>
    <t>11:40 - 11:55</t>
  </si>
  <si>
    <t>00:00 - 00:15</t>
  </si>
  <si>
    <t>12:40 - 12:55</t>
  </si>
  <si>
    <t>13:00 - 13:15</t>
  </si>
  <si>
    <t>13:20 - 13:35</t>
  </si>
  <si>
    <t>13:40 - 13:55</t>
  </si>
  <si>
    <t>Dato:  04.03.2017</t>
  </si>
  <si>
    <t>Hall:  Flinthallen</t>
  </si>
  <si>
    <t>Bane:  1</t>
  </si>
  <si>
    <t xml:space="preserve">Klasse:   J7 </t>
  </si>
  <si>
    <t>11:20 - 11:35</t>
  </si>
  <si>
    <t>12:20 - 12:35</t>
  </si>
  <si>
    <t xml:space="preserve">Klasse:   G6 </t>
  </si>
  <si>
    <t>14:00 - 14:15</t>
  </si>
  <si>
    <t>14:20 - 14:35</t>
  </si>
  <si>
    <t>14:40 - 14:55</t>
  </si>
  <si>
    <t>15:00 - 15:15</t>
  </si>
  <si>
    <t>15:20 - 15:35</t>
  </si>
  <si>
    <t>15:40 - 15:55</t>
  </si>
  <si>
    <t>16:00 - 16:15</t>
  </si>
  <si>
    <t>16:20 - 16:35</t>
  </si>
  <si>
    <t xml:space="preserve">Klasse:   J8 </t>
  </si>
  <si>
    <t>Bane:  2</t>
  </si>
  <si>
    <t xml:space="preserve">Klasse:   J6 </t>
  </si>
  <si>
    <t>Dommerpar</t>
  </si>
  <si>
    <t>Lotte Bettum og Henriette Olafsen Foyn</t>
  </si>
  <si>
    <t>Vinos Ismail og Celine Kjær Molvig</t>
  </si>
  <si>
    <t>Helle Kierulf og Lene Brosvik</t>
  </si>
  <si>
    <t>Lene Brosvik og Hanna Finnskog Nordby</t>
  </si>
  <si>
    <t>Hanna Finnskog Nordby og Helle Kierulf</t>
  </si>
  <si>
    <t xml:space="preserve">Lotte Bettum </t>
  </si>
  <si>
    <t xml:space="preserve">Helle Kierulf </t>
  </si>
  <si>
    <t xml:space="preserve">Lene Brosvik </t>
  </si>
  <si>
    <t xml:space="preserve">Hanna Finnskog Nordby </t>
  </si>
  <si>
    <t xml:space="preserve">Vinos Ismail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</si>
</sst>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1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3" fillId="0" borderId="0" xfId="0" applyFont="1"/>
    <xf numFmtId="0" fontId="14" fillId="3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1" fillId="2" borderId="24" xfId="0" applyFont="1" applyFill="1" applyBorder="1" applyAlignment="1">
      <alignment horizontal="left" vertical="center"/>
    </xf>
    <xf numFmtId="49" fontId="1" fillId="2" borderId="24" xfId="0" applyNumberFormat="1" applyFont="1" applyFill="1" applyBorder="1" applyAlignment="1">
      <alignment horizontal="left" vertical="center"/>
    </xf>
    <xf numFmtId="0" fontId="16" fillId="0" borderId="0" xfId="1" applyFont="1" applyAlignment="1" applyProtection="1">
      <alignment vertical="top" wrapText="1" readingOrder="1"/>
      <protection locked="0"/>
    </xf>
  </cellXfs>
  <cellStyles count="2">
    <cellStyle name="Normal" xfId="0" builtinId="0"/>
    <cellStyle name="Normal 2" xfId="1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209551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A4BAE04-4719-4C70-BC0E-55935DFF4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E4178CE8-ED3E-4EDC-AADD-CB44B485C7D4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63259351-2D58-46D7-A5A2-692E0BEEE756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27BEC62-72A5-4BB0-88B5-AA0ACBB53B6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CF694426-48AB-4236-A064-31A67DE01486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35558B3E-D332-4174-8E5D-E6E36B855523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45219081-69C0-4BF4-9159-9815D88F289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Flinthallen_Minibane_1" displayName="Flinthallen_Minibane_1" ref="A4:I24" totalsRowShown="0" headerRowDxfId="7" headerRowBorderDxfId="12" tableBorderDxfId="13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Flinthallen_Minibane_2" displayName="Flinthallen_Minibane_2" ref="A4:I24" totalsRowShown="0" headerRowDxfId="0" headerRowBorderDxfId="5" tableBorderDxfId="6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I6" sqref="I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6" t="s">
        <v>16</v>
      </c>
      <c r="B1" s="3">
        <v>42798</v>
      </c>
      <c r="C1" s="36"/>
      <c r="D1" s="34" t="s">
        <v>23</v>
      </c>
      <c r="E1" s="6" t="s">
        <v>80</v>
      </c>
    </row>
    <row r="2" spans="1:10" x14ac:dyDescent="0.25">
      <c r="A2" s="6" t="s">
        <v>17</v>
      </c>
      <c r="B2" s="6">
        <v>15</v>
      </c>
      <c r="D2" s="34" t="s">
        <v>24</v>
      </c>
      <c r="E2" s="35">
        <v>2</v>
      </c>
    </row>
    <row r="3" spans="1:10" x14ac:dyDescent="0.25">
      <c r="A3" s="6" t="s">
        <v>25</v>
      </c>
      <c r="B3" s="6">
        <v>5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8" t="s">
        <v>2</v>
      </c>
      <c r="D5" s="2" t="s">
        <v>3</v>
      </c>
      <c r="E5" s="2" t="s">
        <v>4</v>
      </c>
      <c r="F5" s="2" t="s">
        <v>5</v>
      </c>
      <c r="G5" s="2" t="s">
        <v>15</v>
      </c>
      <c r="H5" s="2" t="s">
        <v>13</v>
      </c>
      <c r="I5" s="2" t="s">
        <v>14</v>
      </c>
      <c r="J5" s="2" t="s">
        <v>168</v>
      </c>
    </row>
    <row r="6" spans="1:10" hidden="1" x14ac:dyDescent="0.25">
      <c r="A6" s="4">
        <v>0.41666666666666669</v>
      </c>
      <c r="B6" t="s">
        <v>26</v>
      </c>
      <c r="C6" s="39" t="s">
        <v>40</v>
      </c>
      <c r="D6" t="s">
        <v>27</v>
      </c>
      <c r="E6" t="s">
        <v>28</v>
      </c>
      <c r="F6" t="s">
        <v>6</v>
      </c>
      <c r="G6" t="str">
        <f>MID(B6,FIND(" ",B6,1),4)</f>
        <v xml:space="preserve"> J7 </v>
      </c>
      <c r="H6" s="1" t="str">
        <f>LEFT(J6,FIND(" og ",J6,1))</f>
        <v xml:space="preserve">Lotte Bettum </v>
      </c>
      <c r="I6" s="1" t="str">
        <f>RIGHT(J6,LEN(J6) - FIND(" og ",J6,1) - 3)</f>
        <v>Henriette Olafsen Foyn</v>
      </c>
      <c r="J6" s="50" t="s">
        <v>169</v>
      </c>
    </row>
    <row r="7" spans="1:10" hidden="1" x14ac:dyDescent="0.25">
      <c r="A7" s="4">
        <v>0.41666666666666669</v>
      </c>
      <c r="B7" t="s">
        <v>29</v>
      </c>
      <c r="C7" s="39" t="s">
        <v>41</v>
      </c>
      <c r="D7" t="s">
        <v>30</v>
      </c>
      <c r="E7" t="s">
        <v>6</v>
      </c>
      <c r="F7" t="s">
        <v>31</v>
      </c>
      <c r="G7" t="str">
        <f t="shared" ref="G7:G45" si="0">MID(B7,FIND(" ",B7,1),4)</f>
        <v xml:space="preserve"> G6 </v>
      </c>
      <c r="H7" s="1" t="str">
        <f t="shared" ref="H7:H45" si="1">LEFT(J7,FIND(" og ",J7,1))</f>
        <v xml:space="preserve">Vinos Ismail </v>
      </c>
      <c r="I7" s="1" t="str">
        <f t="shared" ref="I7:I45" si="2">RIGHT(J7,LEN(J7) - FIND(" og ",J7,1) - 3)</f>
        <v>Celine Kjær Molvig</v>
      </c>
      <c r="J7" s="50" t="s">
        <v>170</v>
      </c>
    </row>
    <row r="8" spans="1:10" hidden="1" x14ac:dyDescent="0.25">
      <c r="A8" s="4">
        <v>0.43055555555555558</v>
      </c>
      <c r="B8" t="s">
        <v>26</v>
      </c>
      <c r="C8" s="39" t="s">
        <v>42</v>
      </c>
      <c r="D8" t="s">
        <v>27</v>
      </c>
      <c r="E8" t="s">
        <v>32</v>
      </c>
      <c r="F8" t="s">
        <v>9</v>
      </c>
      <c r="G8" t="str">
        <f t="shared" si="0"/>
        <v xml:space="preserve"> J7 </v>
      </c>
      <c r="H8" s="1" t="str">
        <f t="shared" si="1"/>
        <v xml:space="preserve">Lotte Bettum </v>
      </c>
      <c r="I8" s="1" t="str">
        <f t="shared" si="2"/>
        <v>Henriette Olafsen Foyn</v>
      </c>
      <c r="J8" s="50" t="s">
        <v>169</v>
      </c>
    </row>
    <row r="9" spans="1:10" hidden="1" x14ac:dyDescent="0.25">
      <c r="A9" s="4">
        <v>0.43055555555555558</v>
      </c>
      <c r="B9" t="s">
        <v>29</v>
      </c>
      <c r="C9" s="39" t="s">
        <v>43</v>
      </c>
      <c r="D9" t="s">
        <v>30</v>
      </c>
      <c r="E9" t="s">
        <v>7</v>
      </c>
      <c r="F9" t="s">
        <v>33</v>
      </c>
      <c r="G9" t="str">
        <f t="shared" si="0"/>
        <v xml:space="preserve"> G6 </v>
      </c>
      <c r="H9" s="1" t="str">
        <f t="shared" si="1"/>
        <v xml:space="preserve">Vinos Ismail </v>
      </c>
      <c r="I9" s="1" t="str">
        <f t="shared" si="2"/>
        <v>Celine Kjær Molvig</v>
      </c>
      <c r="J9" s="50" t="s">
        <v>170</v>
      </c>
    </row>
    <row r="10" spans="1:10" hidden="1" x14ac:dyDescent="0.25">
      <c r="A10" s="4">
        <v>0.44444444444444442</v>
      </c>
      <c r="B10" t="s">
        <v>26</v>
      </c>
      <c r="C10" s="39" t="s">
        <v>44</v>
      </c>
      <c r="D10" t="s">
        <v>27</v>
      </c>
      <c r="E10" t="s">
        <v>34</v>
      </c>
      <c r="F10" t="s">
        <v>8</v>
      </c>
      <c r="G10" t="str">
        <f t="shared" si="0"/>
        <v xml:space="preserve"> J7 </v>
      </c>
      <c r="H10" s="1" t="str">
        <f t="shared" si="1"/>
        <v xml:space="preserve">Lotte Bettum </v>
      </c>
      <c r="I10" s="1" t="str">
        <f t="shared" si="2"/>
        <v>Henriette Olafsen Foyn</v>
      </c>
      <c r="J10" s="50" t="s">
        <v>169</v>
      </c>
    </row>
    <row r="11" spans="1:10" hidden="1" x14ac:dyDescent="0.25">
      <c r="A11" s="4">
        <v>0.44444444444444442</v>
      </c>
      <c r="B11" t="s">
        <v>35</v>
      </c>
      <c r="C11" s="39" t="s">
        <v>45</v>
      </c>
      <c r="D11" t="s">
        <v>30</v>
      </c>
      <c r="E11" t="s">
        <v>8</v>
      </c>
      <c r="F11" t="s">
        <v>33</v>
      </c>
      <c r="G11" t="str">
        <f t="shared" si="0"/>
        <v xml:space="preserve"> J6 </v>
      </c>
      <c r="H11" s="1" t="str">
        <f t="shared" si="1"/>
        <v xml:space="preserve">Vinos Ismail </v>
      </c>
      <c r="I11" s="1" t="str">
        <f t="shared" si="2"/>
        <v>Celine Kjær Molvig</v>
      </c>
      <c r="J11" s="50" t="s">
        <v>170</v>
      </c>
    </row>
    <row r="12" spans="1:10" hidden="1" x14ac:dyDescent="0.25">
      <c r="A12" s="4">
        <v>0.45833333333333331</v>
      </c>
      <c r="B12" t="s">
        <v>26</v>
      </c>
      <c r="C12" s="39" t="s">
        <v>46</v>
      </c>
      <c r="D12" t="s">
        <v>27</v>
      </c>
      <c r="E12" t="s">
        <v>32</v>
      </c>
      <c r="F12" t="s">
        <v>6</v>
      </c>
      <c r="G12" t="str">
        <f t="shared" si="0"/>
        <v xml:space="preserve"> J7 </v>
      </c>
      <c r="H12" s="1" t="str">
        <f t="shared" si="1"/>
        <v xml:space="preserve">Helle Kierulf </v>
      </c>
      <c r="I12" s="1" t="str">
        <f t="shared" si="2"/>
        <v>Lene Brosvik</v>
      </c>
      <c r="J12" s="50" t="s">
        <v>171</v>
      </c>
    </row>
    <row r="13" spans="1:10" hidden="1" x14ac:dyDescent="0.25">
      <c r="A13" s="4">
        <v>0.45833333333333331</v>
      </c>
      <c r="B13" t="s">
        <v>35</v>
      </c>
      <c r="C13" s="39" t="s">
        <v>47</v>
      </c>
      <c r="D13" t="s">
        <v>30</v>
      </c>
      <c r="E13" t="s">
        <v>10</v>
      </c>
      <c r="F13" t="s">
        <v>6</v>
      </c>
      <c r="G13" t="str">
        <f t="shared" si="0"/>
        <v xml:space="preserve"> J6 </v>
      </c>
      <c r="H13" s="1" t="str">
        <f t="shared" si="1"/>
        <v xml:space="preserve">Vinos Ismail </v>
      </c>
      <c r="I13" s="1" t="str">
        <f t="shared" si="2"/>
        <v>Celine Kjær Molvig</v>
      </c>
      <c r="J13" s="50" t="s">
        <v>170</v>
      </c>
    </row>
    <row r="14" spans="1:10" hidden="1" x14ac:dyDescent="0.25">
      <c r="A14" s="4">
        <v>0.47222222222222227</v>
      </c>
      <c r="B14" t="s">
        <v>29</v>
      </c>
      <c r="C14" s="39" t="s">
        <v>48</v>
      </c>
      <c r="D14" t="s">
        <v>27</v>
      </c>
      <c r="E14" t="s">
        <v>31</v>
      </c>
      <c r="F14" t="s">
        <v>7</v>
      </c>
      <c r="G14" t="str">
        <f t="shared" si="0"/>
        <v xml:space="preserve"> G6 </v>
      </c>
      <c r="H14" s="1" t="str">
        <f t="shared" si="1"/>
        <v xml:space="preserve">Helle Kierulf </v>
      </c>
      <c r="I14" s="1" t="str">
        <f t="shared" si="2"/>
        <v>Lene Brosvik</v>
      </c>
      <c r="J14" s="50" t="s">
        <v>171</v>
      </c>
    </row>
    <row r="15" spans="1:10" hidden="1" x14ac:dyDescent="0.25">
      <c r="A15" s="4">
        <v>0.47222222222222227</v>
      </c>
      <c r="B15" t="s">
        <v>29</v>
      </c>
      <c r="C15" s="39" t="s">
        <v>49</v>
      </c>
      <c r="D15" t="s">
        <v>30</v>
      </c>
      <c r="E15" t="s">
        <v>33</v>
      </c>
      <c r="F15" t="s">
        <v>6</v>
      </c>
      <c r="G15" t="str">
        <f t="shared" si="0"/>
        <v xml:space="preserve"> G6 </v>
      </c>
      <c r="H15" s="1" t="str">
        <f t="shared" si="1"/>
        <v xml:space="preserve">Lotte Bettum </v>
      </c>
      <c r="I15" s="1" t="str">
        <f t="shared" si="2"/>
        <v>Henriette Olafsen Foyn</v>
      </c>
      <c r="J15" s="50" t="s">
        <v>169</v>
      </c>
    </row>
    <row r="16" spans="1:10" hidden="1" x14ac:dyDescent="0.25">
      <c r="A16" s="4">
        <v>0.4861111111111111</v>
      </c>
      <c r="B16" t="s">
        <v>26</v>
      </c>
      <c r="C16" s="39" t="s">
        <v>50</v>
      </c>
      <c r="D16" t="s">
        <v>27</v>
      </c>
      <c r="E16" t="s">
        <v>34</v>
      </c>
      <c r="F16" t="s">
        <v>28</v>
      </c>
      <c r="G16" t="str">
        <f t="shared" si="0"/>
        <v xml:space="preserve"> J7 </v>
      </c>
      <c r="H16" s="1" t="str">
        <f t="shared" si="1"/>
        <v xml:space="preserve">Lene Brosvik </v>
      </c>
      <c r="I16" s="1" t="str">
        <f t="shared" si="2"/>
        <v>Hanna Finnskog Nordby</v>
      </c>
      <c r="J16" s="50" t="s">
        <v>172</v>
      </c>
    </row>
    <row r="17" spans="1:10" hidden="1" x14ac:dyDescent="0.25">
      <c r="A17" s="4">
        <v>0.4861111111111111</v>
      </c>
      <c r="B17" t="s">
        <v>35</v>
      </c>
      <c r="C17" s="39" t="s">
        <v>51</v>
      </c>
      <c r="D17" t="s">
        <v>30</v>
      </c>
      <c r="E17" t="s">
        <v>31</v>
      </c>
      <c r="F17" t="s">
        <v>33</v>
      </c>
      <c r="G17" t="str">
        <f t="shared" si="0"/>
        <v xml:space="preserve"> J6 </v>
      </c>
      <c r="H17" s="1" t="str">
        <f t="shared" si="1"/>
        <v xml:space="preserve">Lotte Bettum </v>
      </c>
      <c r="I17" s="1" t="str">
        <f t="shared" si="2"/>
        <v>Henriette Olafsen Foyn</v>
      </c>
      <c r="J17" s="50" t="s">
        <v>169</v>
      </c>
    </row>
    <row r="18" spans="1:10" hidden="1" x14ac:dyDescent="0.25">
      <c r="A18" s="4">
        <v>0.5</v>
      </c>
      <c r="B18" t="s">
        <v>26</v>
      </c>
      <c r="C18" s="39" t="s">
        <v>52</v>
      </c>
      <c r="D18" t="s">
        <v>27</v>
      </c>
      <c r="E18" t="s">
        <v>8</v>
      </c>
      <c r="F18" t="s">
        <v>9</v>
      </c>
      <c r="G18" t="str">
        <f t="shared" si="0"/>
        <v xml:space="preserve"> J7 </v>
      </c>
      <c r="H18" s="1" t="str">
        <f t="shared" si="1"/>
        <v xml:space="preserve">Lene Brosvik </v>
      </c>
      <c r="I18" s="1" t="str">
        <f t="shared" si="2"/>
        <v>Hanna Finnskog Nordby</v>
      </c>
      <c r="J18" s="50" t="s">
        <v>172</v>
      </c>
    </row>
    <row r="19" spans="1:10" hidden="1" x14ac:dyDescent="0.25">
      <c r="A19" s="4">
        <v>0.5</v>
      </c>
      <c r="B19" t="s">
        <v>35</v>
      </c>
      <c r="C19" s="39" t="s">
        <v>53</v>
      </c>
      <c r="D19" t="s">
        <v>30</v>
      </c>
      <c r="E19" t="s">
        <v>8</v>
      </c>
      <c r="F19" t="s">
        <v>10</v>
      </c>
      <c r="G19" t="str">
        <f t="shared" si="0"/>
        <v xml:space="preserve"> J6 </v>
      </c>
      <c r="H19" s="1" t="str">
        <f t="shared" si="1"/>
        <v xml:space="preserve">Vinos Ismail </v>
      </c>
      <c r="I19" s="1" t="str">
        <f t="shared" si="2"/>
        <v>Celine Kjær Molvig</v>
      </c>
      <c r="J19" s="50" t="s">
        <v>170</v>
      </c>
    </row>
    <row r="20" spans="1:10" hidden="1" x14ac:dyDescent="0.25">
      <c r="A20" s="4">
        <v>0.51388888888888895</v>
      </c>
      <c r="B20" t="s">
        <v>29</v>
      </c>
      <c r="C20" s="39" t="s">
        <v>54</v>
      </c>
      <c r="D20" t="s">
        <v>27</v>
      </c>
      <c r="E20" t="s">
        <v>7</v>
      </c>
      <c r="F20" t="s">
        <v>6</v>
      </c>
      <c r="G20" t="str">
        <f t="shared" si="0"/>
        <v xml:space="preserve"> G6 </v>
      </c>
      <c r="H20" s="1" t="str">
        <f t="shared" si="1"/>
        <v xml:space="preserve">Hanna Finnskog Nordby </v>
      </c>
      <c r="I20" s="1" t="str">
        <f t="shared" si="2"/>
        <v>Helle Kierulf</v>
      </c>
      <c r="J20" s="50" t="s">
        <v>173</v>
      </c>
    </row>
    <row r="21" spans="1:10" hidden="1" x14ac:dyDescent="0.25">
      <c r="A21" s="4">
        <v>0.51388888888888895</v>
      </c>
      <c r="B21" t="s">
        <v>29</v>
      </c>
      <c r="C21" s="39" t="s">
        <v>55</v>
      </c>
      <c r="D21" t="s">
        <v>30</v>
      </c>
      <c r="E21" t="s">
        <v>33</v>
      </c>
      <c r="F21" t="s">
        <v>31</v>
      </c>
      <c r="G21" t="str">
        <f t="shared" si="0"/>
        <v xml:space="preserve"> G6 </v>
      </c>
      <c r="H21" s="1" t="str">
        <f t="shared" si="1"/>
        <v xml:space="preserve">Vinos Ismail </v>
      </c>
      <c r="I21" s="1" t="str">
        <f t="shared" si="2"/>
        <v>Celine Kjær Molvig</v>
      </c>
      <c r="J21" s="50" t="s">
        <v>170</v>
      </c>
    </row>
    <row r="22" spans="1:10" hidden="1" x14ac:dyDescent="0.25">
      <c r="A22" s="4">
        <v>0.52777777777777779</v>
      </c>
      <c r="B22" t="s">
        <v>26</v>
      </c>
      <c r="C22" s="39" t="s">
        <v>56</v>
      </c>
      <c r="D22" t="s">
        <v>27</v>
      </c>
      <c r="E22" t="s">
        <v>32</v>
      </c>
      <c r="F22" t="s">
        <v>28</v>
      </c>
      <c r="G22" t="str">
        <f t="shared" si="0"/>
        <v xml:space="preserve"> J7 </v>
      </c>
      <c r="H22" s="1" t="str">
        <f t="shared" si="1"/>
        <v xml:space="preserve">Hanna Finnskog Nordby </v>
      </c>
      <c r="I22" s="1" t="str">
        <f t="shared" si="2"/>
        <v>Helle Kierulf</v>
      </c>
      <c r="J22" s="50" t="s">
        <v>173</v>
      </c>
    </row>
    <row r="23" spans="1:10" hidden="1" x14ac:dyDescent="0.25">
      <c r="A23" s="4">
        <v>0.52777777777777779</v>
      </c>
      <c r="B23" t="s">
        <v>35</v>
      </c>
      <c r="C23" s="39" t="s">
        <v>57</v>
      </c>
      <c r="D23" t="s">
        <v>30</v>
      </c>
      <c r="E23" t="s">
        <v>6</v>
      </c>
      <c r="F23" t="s">
        <v>31</v>
      </c>
      <c r="G23" t="str">
        <f t="shared" si="0"/>
        <v xml:space="preserve"> J6 </v>
      </c>
      <c r="H23" s="1" t="str">
        <f t="shared" si="1"/>
        <v xml:space="preserve">Lotte Bettum </v>
      </c>
      <c r="I23" s="1" t="str">
        <f t="shared" si="2"/>
        <v>Henriette Olafsen Foyn</v>
      </c>
      <c r="J23" s="50" t="s">
        <v>169</v>
      </c>
    </row>
    <row r="24" spans="1:10" hidden="1" x14ac:dyDescent="0.25">
      <c r="A24" s="4">
        <v>0.54166666666666663</v>
      </c>
      <c r="B24" t="s">
        <v>35</v>
      </c>
      <c r="C24" s="39" t="s">
        <v>58</v>
      </c>
      <c r="D24" t="s">
        <v>30</v>
      </c>
      <c r="E24" t="s">
        <v>33</v>
      </c>
      <c r="F24" t="s">
        <v>10</v>
      </c>
      <c r="G24" t="str">
        <f t="shared" si="0"/>
        <v xml:space="preserve"> J6 </v>
      </c>
      <c r="H24" s="1" t="str">
        <f t="shared" si="1"/>
        <v xml:space="preserve">Helle Kierulf </v>
      </c>
      <c r="I24" s="1" t="str">
        <f t="shared" si="2"/>
        <v>Lene Brosvik</v>
      </c>
      <c r="J24" s="50" t="s">
        <v>171</v>
      </c>
    </row>
    <row r="25" spans="1:10" hidden="1" x14ac:dyDescent="0.25">
      <c r="A25" s="4">
        <v>0.54166666666666663</v>
      </c>
      <c r="B25" t="s">
        <v>26</v>
      </c>
      <c r="C25" s="39" t="s">
        <v>59</v>
      </c>
      <c r="D25" t="s">
        <v>27</v>
      </c>
      <c r="E25" t="s">
        <v>6</v>
      </c>
      <c r="F25" t="s">
        <v>34</v>
      </c>
      <c r="G25" t="str">
        <f t="shared" si="0"/>
        <v xml:space="preserve"> J7 </v>
      </c>
      <c r="H25" s="1" t="str">
        <f t="shared" si="1"/>
        <v xml:space="preserve">Lotte Bettum </v>
      </c>
      <c r="I25" s="1" t="str">
        <f t="shared" si="2"/>
        <v>Henriette Olafsen Foyn</v>
      </c>
      <c r="J25" s="50" t="s">
        <v>169</v>
      </c>
    </row>
    <row r="26" spans="1:10" hidden="1" x14ac:dyDescent="0.25">
      <c r="A26" s="4">
        <v>0.55555555555555558</v>
      </c>
      <c r="B26" t="s">
        <v>26</v>
      </c>
      <c r="C26" s="39" t="s">
        <v>60</v>
      </c>
      <c r="D26" t="s">
        <v>27</v>
      </c>
      <c r="E26" t="s">
        <v>9</v>
      </c>
      <c r="F26" t="s">
        <v>28</v>
      </c>
      <c r="G26" t="str">
        <f t="shared" si="0"/>
        <v xml:space="preserve"> J7 </v>
      </c>
      <c r="H26" s="1" t="str">
        <f t="shared" si="1"/>
        <v xml:space="preserve">Helle Kierulf </v>
      </c>
      <c r="I26" s="1" t="str">
        <f t="shared" si="2"/>
        <v>Lene Brosvik</v>
      </c>
      <c r="J26" s="50" t="s">
        <v>171</v>
      </c>
    </row>
    <row r="27" spans="1:10" hidden="1" x14ac:dyDescent="0.25">
      <c r="A27" s="4">
        <v>0.55555555555555558</v>
      </c>
      <c r="B27" t="s">
        <v>35</v>
      </c>
      <c r="C27" s="39" t="s">
        <v>61</v>
      </c>
      <c r="D27" t="s">
        <v>30</v>
      </c>
      <c r="E27" t="s">
        <v>31</v>
      </c>
      <c r="F27" t="s">
        <v>8</v>
      </c>
      <c r="G27" t="str">
        <f t="shared" si="0"/>
        <v xml:space="preserve"> J6 </v>
      </c>
      <c r="H27" s="1" t="str">
        <f t="shared" si="1"/>
        <v xml:space="preserve">Vinos Ismail </v>
      </c>
      <c r="I27" s="1" t="str">
        <f t="shared" si="2"/>
        <v>Celine Kjær Molvig</v>
      </c>
      <c r="J27" s="50" t="s">
        <v>170</v>
      </c>
    </row>
    <row r="28" spans="1:10" hidden="1" x14ac:dyDescent="0.25">
      <c r="A28" s="4">
        <v>0.56944444444444442</v>
      </c>
      <c r="B28" t="s">
        <v>26</v>
      </c>
      <c r="C28" s="39" t="s">
        <v>62</v>
      </c>
      <c r="D28" t="s">
        <v>27</v>
      </c>
      <c r="E28" t="s">
        <v>8</v>
      </c>
      <c r="F28" t="s">
        <v>32</v>
      </c>
      <c r="G28" t="str">
        <f t="shared" si="0"/>
        <v xml:space="preserve"> J7 </v>
      </c>
      <c r="H28" s="1" t="str">
        <f t="shared" si="1"/>
        <v xml:space="preserve">Lene Brosvik </v>
      </c>
      <c r="I28" s="1" t="str">
        <f t="shared" si="2"/>
        <v>Hanna Finnskog Nordby</v>
      </c>
      <c r="J28" s="50" t="s">
        <v>172</v>
      </c>
    </row>
    <row r="29" spans="1:10" hidden="1" x14ac:dyDescent="0.25">
      <c r="A29" s="4">
        <v>0.56944444444444442</v>
      </c>
      <c r="B29" t="s">
        <v>35</v>
      </c>
      <c r="C29" s="39" t="s">
        <v>63</v>
      </c>
      <c r="D29" t="s">
        <v>30</v>
      </c>
      <c r="E29" t="s">
        <v>33</v>
      </c>
      <c r="F29" t="s">
        <v>6</v>
      </c>
      <c r="G29" t="str">
        <f t="shared" si="0"/>
        <v xml:space="preserve"> J6 </v>
      </c>
      <c r="H29" s="1" t="str">
        <f t="shared" si="1"/>
        <v xml:space="preserve">Vinos Ismail </v>
      </c>
      <c r="I29" s="1" t="str">
        <f t="shared" si="2"/>
        <v>Celine Kjær Molvig</v>
      </c>
      <c r="J29" s="50" t="s">
        <v>170</v>
      </c>
    </row>
    <row r="30" spans="1:10" x14ac:dyDescent="0.25">
      <c r="A30" s="4">
        <v>0.58333333333333337</v>
      </c>
      <c r="B30" t="s">
        <v>36</v>
      </c>
      <c r="C30" s="39" t="s">
        <v>64</v>
      </c>
      <c r="D30" t="s">
        <v>27</v>
      </c>
      <c r="E30" t="s">
        <v>6</v>
      </c>
      <c r="F30" t="s">
        <v>7</v>
      </c>
      <c r="G30" t="str">
        <f t="shared" si="0"/>
        <v xml:space="preserve"> J8 </v>
      </c>
      <c r="H30" s="1" t="str">
        <f t="shared" si="1"/>
        <v xml:space="preserve">Lene Brosvik </v>
      </c>
      <c r="I30" s="1" t="str">
        <f t="shared" si="2"/>
        <v>Hanna Finnskog Nordby</v>
      </c>
      <c r="J30" s="50" t="s">
        <v>172</v>
      </c>
    </row>
    <row r="31" spans="1:10" x14ac:dyDescent="0.25">
      <c r="A31" s="4">
        <v>0.58333333333333337</v>
      </c>
      <c r="B31" t="s">
        <v>36</v>
      </c>
      <c r="C31" s="39" t="s">
        <v>65</v>
      </c>
      <c r="D31" t="s">
        <v>30</v>
      </c>
      <c r="E31" t="s">
        <v>12</v>
      </c>
      <c r="F31" t="s">
        <v>10</v>
      </c>
      <c r="G31" t="str">
        <f t="shared" si="0"/>
        <v xml:space="preserve"> J8 </v>
      </c>
      <c r="H31" s="1" t="str">
        <f t="shared" si="1"/>
        <v xml:space="preserve">Lotte Bettum </v>
      </c>
      <c r="I31" s="1" t="str">
        <f t="shared" si="2"/>
        <v>Henriette Olafsen Foyn</v>
      </c>
      <c r="J31" s="50" t="s">
        <v>169</v>
      </c>
    </row>
    <row r="32" spans="1:10" x14ac:dyDescent="0.25">
      <c r="A32" s="4">
        <v>0.59722222222222221</v>
      </c>
      <c r="B32" t="s">
        <v>36</v>
      </c>
      <c r="C32" s="39" t="s">
        <v>66</v>
      </c>
      <c r="D32" t="s">
        <v>27</v>
      </c>
      <c r="E32" t="s">
        <v>37</v>
      </c>
      <c r="F32" t="s">
        <v>8</v>
      </c>
      <c r="G32" t="str">
        <f t="shared" si="0"/>
        <v xml:space="preserve"> J8 </v>
      </c>
      <c r="H32" s="1" t="str">
        <f t="shared" si="1"/>
        <v xml:space="preserve">Hanna Finnskog Nordby </v>
      </c>
      <c r="I32" s="1" t="str">
        <f t="shared" si="2"/>
        <v>Helle Kierulf</v>
      </c>
      <c r="J32" s="50" t="s">
        <v>173</v>
      </c>
    </row>
    <row r="33" spans="1:10" x14ac:dyDescent="0.25">
      <c r="A33" s="4">
        <v>0.59722222222222221</v>
      </c>
      <c r="B33" t="s">
        <v>36</v>
      </c>
      <c r="C33" s="39" t="s">
        <v>67</v>
      </c>
      <c r="D33" t="s">
        <v>30</v>
      </c>
      <c r="E33" t="s">
        <v>38</v>
      </c>
      <c r="F33" t="s">
        <v>11</v>
      </c>
      <c r="G33" t="str">
        <f t="shared" si="0"/>
        <v xml:space="preserve"> J8 </v>
      </c>
      <c r="H33" s="1" t="str">
        <f t="shared" si="1"/>
        <v xml:space="preserve">Lotte Bettum </v>
      </c>
      <c r="I33" s="1" t="str">
        <f t="shared" si="2"/>
        <v>Henriette Olafsen Foyn</v>
      </c>
      <c r="J33" s="50" t="s">
        <v>169</v>
      </c>
    </row>
    <row r="34" spans="1:10" x14ac:dyDescent="0.25">
      <c r="A34" s="4">
        <v>0.61111111111111105</v>
      </c>
      <c r="B34" t="s">
        <v>36</v>
      </c>
      <c r="C34" s="39" t="s">
        <v>68</v>
      </c>
      <c r="D34" t="s">
        <v>27</v>
      </c>
      <c r="E34" t="s">
        <v>39</v>
      </c>
      <c r="F34" t="s">
        <v>9</v>
      </c>
      <c r="G34" t="str">
        <f t="shared" si="0"/>
        <v xml:space="preserve"> J8 </v>
      </c>
      <c r="H34" s="1" t="str">
        <f t="shared" si="1"/>
        <v xml:space="preserve">Hanna Finnskog Nordby </v>
      </c>
      <c r="I34" s="1" t="str">
        <f t="shared" si="2"/>
        <v>Helle Kierulf</v>
      </c>
      <c r="J34" s="50" t="s">
        <v>173</v>
      </c>
    </row>
    <row r="35" spans="1:10" x14ac:dyDescent="0.25">
      <c r="A35" s="4">
        <v>0.61111111111111105</v>
      </c>
      <c r="B35" t="s">
        <v>36</v>
      </c>
      <c r="C35" s="39" t="s">
        <v>69</v>
      </c>
      <c r="D35" t="s">
        <v>30</v>
      </c>
      <c r="E35" t="s">
        <v>7</v>
      </c>
      <c r="F35" t="s">
        <v>10</v>
      </c>
      <c r="G35" t="str">
        <f t="shared" si="0"/>
        <v xml:space="preserve"> J8 </v>
      </c>
      <c r="H35" s="1" t="str">
        <f t="shared" si="1"/>
        <v xml:space="preserve">Vinos Ismail </v>
      </c>
      <c r="I35" s="1" t="str">
        <f t="shared" si="2"/>
        <v>Celine Kjær Molvig</v>
      </c>
      <c r="J35" s="50" t="s">
        <v>170</v>
      </c>
    </row>
    <row r="36" spans="1:10" x14ac:dyDescent="0.25">
      <c r="A36" s="4">
        <v>0.625</v>
      </c>
      <c r="B36" t="s">
        <v>36</v>
      </c>
      <c r="C36" s="39" t="s">
        <v>70</v>
      </c>
      <c r="D36" t="s">
        <v>27</v>
      </c>
      <c r="E36" t="s">
        <v>6</v>
      </c>
      <c r="F36" t="s">
        <v>12</v>
      </c>
      <c r="G36" t="str">
        <f t="shared" si="0"/>
        <v xml:space="preserve"> J8 </v>
      </c>
      <c r="H36" s="1" t="str">
        <f t="shared" si="1"/>
        <v xml:space="preserve">Helle Kierulf </v>
      </c>
      <c r="I36" s="1" t="str">
        <f t="shared" si="2"/>
        <v>Lene Brosvik</v>
      </c>
      <c r="J36" s="50" t="s">
        <v>171</v>
      </c>
    </row>
    <row r="37" spans="1:10" x14ac:dyDescent="0.25">
      <c r="A37" s="4">
        <v>0.625</v>
      </c>
      <c r="B37" t="s">
        <v>36</v>
      </c>
      <c r="C37" s="39" t="s">
        <v>71</v>
      </c>
      <c r="D37" t="s">
        <v>30</v>
      </c>
      <c r="E37" t="s">
        <v>37</v>
      </c>
      <c r="F37" t="s">
        <v>11</v>
      </c>
      <c r="G37" t="str">
        <f t="shared" si="0"/>
        <v xml:space="preserve"> J8 </v>
      </c>
      <c r="H37" s="1" t="str">
        <f t="shared" si="1"/>
        <v xml:space="preserve">Vinos Ismail </v>
      </c>
      <c r="I37" s="1" t="str">
        <f t="shared" si="2"/>
        <v>Celine Kjær Molvig</v>
      </c>
      <c r="J37" s="50" t="s">
        <v>170</v>
      </c>
    </row>
    <row r="38" spans="1:10" x14ac:dyDescent="0.25">
      <c r="A38" s="4">
        <v>0.63888888888888895</v>
      </c>
      <c r="B38" t="s">
        <v>36</v>
      </c>
      <c r="C38" s="39" t="s">
        <v>72</v>
      </c>
      <c r="D38" t="s">
        <v>30</v>
      </c>
      <c r="E38" t="s">
        <v>7</v>
      </c>
      <c r="F38" t="s">
        <v>39</v>
      </c>
      <c r="G38" t="str">
        <f t="shared" si="0"/>
        <v xml:space="preserve"> J8 </v>
      </c>
      <c r="H38" s="1" t="str">
        <f t="shared" si="1"/>
        <v xml:space="preserve">Helle Kierulf </v>
      </c>
      <c r="I38" s="1" t="str">
        <f t="shared" si="2"/>
        <v>Lene Brosvik</v>
      </c>
      <c r="J38" s="50" t="s">
        <v>171</v>
      </c>
    </row>
    <row r="39" spans="1:10" x14ac:dyDescent="0.25">
      <c r="A39" s="4">
        <v>0.63888888888888895</v>
      </c>
      <c r="B39" t="s">
        <v>36</v>
      </c>
      <c r="C39" s="39" t="s">
        <v>73</v>
      </c>
      <c r="D39" t="s">
        <v>27</v>
      </c>
      <c r="E39" t="s">
        <v>8</v>
      </c>
      <c r="F39" t="s">
        <v>38</v>
      </c>
      <c r="G39" t="str">
        <f t="shared" si="0"/>
        <v xml:space="preserve"> J8 </v>
      </c>
      <c r="H39" s="1" t="str">
        <f t="shared" si="1"/>
        <v xml:space="preserve">Lotte Bettum </v>
      </c>
      <c r="I39" s="1" t="str">
        <f t="shared" si="2"/>
        <v>Henriette Olafsen Foyn</v>
      </c>
      <c r="J39" s="50" t="s">
        <v>169</v>
      </c>
    </row>
    <row r="40" spans="1:10" x14ac:dyDescent="0.25">
      <c r="A40" s="4">
        <v>0.65277777777777779</v>
      </c>
      <c r="B40" t="s">
        <v>36</v>
      </c>
      <c r="C40" s="39" t="s">
        <v>74</v>
      </c>
      <c r="D40" t="s">
        <v>27</v>
      </c>
      <c r="E40" t="s">
        <v>9</v>
      </c>
      <c r="F40" t="s">
        <v>6</v>
      </c>
      <c r="G40" t="str">
        <f t="shared" si="0"/>
        <v xml:space="preserve"> J8 </v>
      </c>
      <c r="H40" s="1" t="str">
        <f t="shared" si="1"/>
        <v xml:space="preserve">Lene Brosvik </v>
      </c>
      <c r="I40" s="1" t="str">
        <f t="shared" si="2"/>
        <v>Hanna Finnskog Nordby</v>
      </c>
      <c r="J40" s="50" t="s">
        <v>172</v>
      </c>
    </row>
    <row r="41" spans="1:10" x14ac:dyDescent="0.25">
      <c r="A41" s="4">
        <v>0.65277777777777779</v>
      </c>
      <c r="B41" t="s">
        <v>36</v>
      </c>
      <c r="C41" s="39" t="s">
        <v>75</v>
      </c>
      <c r="D41" t="s">
        <v>30</v>
      </c>
      <c r="E41" t="s">
        <v>37</v>
      </c>
      <c r="F41" t="s">
        <v>12</v>
      </c>
      <c r="G41" t="str">
        <f t="shared" si="0"/>
        <v xml:space="preserve"> J8 </v>
      </c>
      <c r="H41" s="1" t="str">
        <f t="shared" si="1"/>
        <v xml:space="preserve">Lotte Bettum </v>
      </c>
      <c r="I41" s="1" t="str">
        <f t="shared" si="2"/>
        <v>Henriette Olafsen Foyn</v>
      </c>
      <c r="J41" s="50" t="s">
        <v>169</v>
      </c>
    </row>
    <row r="42" spans="1:10" x14ac:dyDescent="0.25">
      <c r="A42" s="4">
        <v>0.66666666666666663</v>
      </c>
      <c r="B42" t="s">
        <v>36</v>
      </c>
      <c r="C42" s="39" t="s">
        <v>76</v>
      </c>
      <c r="D42" t="s">
        <v>30</v>
      </c>
      <c r="E42" t="s">
        <v>38</v>
      </c>
      <c r="F42" t="s">
        <v>7</v>
      </c>
      <c r="G42" t="str">
        <f t="shared" si="0"/>
        <v xml:space="preserve"> J8 </v>
      </c>
      <c r="H42" s="1" t="str">
        <f t="shared" si="1"/>
        <v xml:space="preserve">Lene Brosvik </v>
      </c>
      <c r="I42" s="1" t="str">
        <f t="shared" si="2"/>
        <v>Hanna Finnskog Nordby</v>
      </c>
      <c r="J42" s="50" t="s">
        <v>172</v>
      </c>
    </row>
    <row r="43" spans="1:10" x14ac:dyDescent="0.25">
      <c r="A43" s="4">
        <v>0.66666666666666663</v>
      </c>
      <c r="B43" t="s">
        <v>36</v>
      </c>
      <c r="C43" s="39" t="s">
        <v>77</v>
      </c>
      <c r="D43" t="s">
        <v>27</v>
      </c>
      <c r="E43" t="s">
        <v>8</v>
      </c>
      <c r="F43" t="s">
        <v>10</v>
      </c>
      <c r="G43" t="str">
        <f t="shared" si="0"/>
        <v xml:space="preserve"> J8 </v>
      </c>
      <c r="H43" s="1" t="str">
        <f t="shared" si="1"/>
        <v xml:space="preserve">Vinos Ismail </v>
      </c>
      <c r="I43" s="1" t="str">
        <f t="shared" si="2"/>
        <v>Celine Kjær Molvig</v>
      </c>
      <c r="J43" s="50" t="s">
        <v>170</v>
      </c>
    </row>
    <row r="44" spans="1:10" x14ac:dyDescent="0.25">
      <c r="A44" s="4">
        <v>0.68055555555555547</v>
      </c>
      <c r="B44" t="s">
        <v>36</v>
      </c>
      <c r="C44" s="39" t="s">
        <v>78</v>
      </c>
      <c r="D44" t="s">
        <v>27</v>
      </c>
      <c r="E44" t="s">
        <v>39</v>
      </c>
      <c r="F44" t="s">
        <v>6</v>
      </c>
      <c r="G44" t="str">
        <f t="shared" si="0"/>
        <v xml:space="preserve"> J8 </v>
      </c>
      <c r="H44" s="1" t="str">
        <f t="shared" si="1"/>
        <v xml:space="preserve">Hanna Finnskog Nordby </v>
      </c>
      <c r="I44" s="1" t="str">
        <f t="shared" si="2"/>
        <v>Helle Kierulf</v>
      </c>
      <c r="J44" s="50" t="s">
        <v>173</v>
      </c>
    </row>
    <row r="45" spans="1:10" x14ac:dyDescent="0.25">
      <c r="A45" s="4">
        <v>0.68055555555555547</v>
      </c>
      <c r="B45" t="s">
        <v>36</v>
      </c>
      <c r="C45" s="39" t="s">
        <v>79</v>
      </c>
      <c r="D45" t="s">
        <v>30</v>
      </c>
      <c r="E45" t="s">
        <v>11</v>
      </c>
      <c r="F45" t="s">
        <v>9</v>
      </c>
      <c r="G45" t="str">
        <f t="shared" si="0"/>
        <v xml:space="preserve"> J8 </v>
      </c>
      <c r="H45" s="1" t="str">
        <f t="shared" si="1"/>
        <v xml:space="preserve">Vinos Ismail </v>
      </c>
      <c r="I45" s="1" t="str">
        <f t="shared" si="2"/>
        <v>Celine Kjær Molvig</v>
      </c>
      <c r="J45" s="50" t="s">
        <v>170</v>
      </c>
    </row>
    <row r="46" spans="1:10" x14ac:dyDescent="0.25">
      <c r="A46" s="4"/>
      <c r="B46"/>
      <c r="C46" s="39"/>
      <c r="D46"/>
      <c r="E46"/>
      <c r="F46"/>
      <c r="G46"/>
    </row>
    <row r="47" spans="1:10" x14ac:dyDescent="0.25">
      <c r="A47" s="4"/>
      <c r="B47"/>
      <c r="C47" s="39"/>
      <c r="D47"/>
      <c r="E47"/>
      <c r="F47"/>
      <c r="G47"/>
    </row>
    <row r="48" spans="1:10" x14ac:dyDescent="0.25">
      <c r="A48" s="4"/>
      <c r="B48"/>
      <c r="C48" s="39"/>
      <c r="D48"/>
      <c r="E48"/>
      <c r="F48"/>
      <c r="G48"/>
    </row>
    <row r="49" spans="1:7" x14ac:dyDescent="0.25">
      <c r="A49" s="4"/>
      <c r="B49"/>
      <c r="C49" s="39"/>
      <c r="D49"/>
      <c r="E49"/>
      <c r="F49"/>
      <c r="G49"/>
    </row>
    <row r="50" spans="1:7" x14ac:dyDescent="0.25">
      <c r="A50" s="4"/>
      <c r="B50"/>
      <c r="C50" s="39"/>
      <c r="D50"/>
      <c r="E50"/>
      <c r="F50"/>
      <c r="G50"/>
    </row>
    <row r="51" spans="1:7" x14ac:dyDescent="0.25">
      <c r="A51" s="4"/>
      <c r="B51"/>
      <c r="C51" s="39"/>
      <c r="D51"/>
      <c r="E51"/>
      <c r="F51"/>
      <c r="G51"/>
    </row>
    <row r="52" spans="1:7" x14ac:dyDescent="0.25">
      <c r="A52" s="4"/>
      <c r="B52"/>
      <c r="C52" s="39"/>
      <c r="D52"/>
      <c r="E52"/>
      <c r="F52"/>
      <c r="G52"/>
    </row>
    <row r="53" spans="1:7" x14ac:dyDescent="0.25">
      <c r="A53" s="4"/>
      <c r="B53"/>
      <c r="C53" s="39"/>
      <c r="D53"/>
      <c r="E53"/>
      <c r="F53"/>
      <c r="G53"/>
    </row>
    <row r="54" spans="1:7" x14ac:dyDescent="0.25">
      <c r="A54" s="4"/>
      <c r="B54"/>
      <c r="C54" s="39"/>
      <c r="D54"/>
      <c r="E54"/>
      <c r="F54"/>
      <c r="G54"/>
    </row>
    <row r="55" spans="1:7" x14ac:dyDescent="0.25">
      <c r="A55" s="4"/>
      <c r="B55"/>
      <c r="C55" s="39"/>
      <c r="D55"/>
      <c r="E55"/>
      <c r="F55"/>
      <c r="G55"/>
    </row>
    <row r="56" spans="1:7" x14ac:dyDescent="0.25">
      <c r="A56" s="4"/>
      <c r="B56"/>
      <c r="C56" s="39"/>
      <c r="D56"/>
      <c r="E56"/>
      <c r="F56"/>
      <c r="G56"/>
    </row>
    <row r="57" spans="1:7" x14ac:dyDescent="0.25">
      <c r="A57" s="4"/>
      <c r="B57"/>
      <c r="C57" s="39"/>
      <c r="D57"/>
      <c r="E57"/>
      <c r="F57"/>
      <c r="G57"/>
    </row>
    <row r="58" spans="1:7" x14ac:dyDescent="0.25">
      <c r="A58" s="4"/>
      <c r="B58"/>
      <c r="C58" s="39"/>
      <c r="D58"/>
      <c r="E58"/>
      <c r="F58"/>
      <c r="G58"/>
    </row>
    <row r="59" spans="1:7" ht="15.75" thickBot="1" x14ac:dyDescent="0.3">
      <c r="A59" s="5"/>
      <c r="B59"/>
      <c r="C59" s="39"/>
      <c r="D59"/>
      <c r="E59"/>
      <c r="F59"/>
      <c r="G59"/>
    </row>
  </sheetData>
  <autoFilter ref="E5:I45">
    <filterColumn colId="2">
      <filters>
        <filter val="J8"/>
      </filters>
    </filterColumn>
  </autoFilter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84</v>
      </c>
      <c r="B3" s="10"/>
      <c r="C3" s="10" t="s">
        <v>81</v>
      </c>
      <c r="D3" s="10"/>
      <c r="E3" s="10" t="s">
        <v>82</v>
      </c>
      <c r="F3" s="11"/>
      <c r="G3" s="11"/>
      <c r="H3" s="10" t="s">
        <v>83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/>
      <c r="B6" s="19"/>
      <c r="C6" s="20"/>
      <c r="D6" s="21"/>
      <c r="E6" s="22"/>
      <c r="F6" s="19"/>
      <c r="G6" s="20"/>
      <c r="H6" s="21"/>
      <c r="I6" s="20"/>
    </row>
    <row r="7" spans="1:9" ht="33" customHeight="1" x14ac:dyDescent="0.25">
      <c r="A7" s="23"/>
      <c r="B7" s="24"/>
      <c r="C7" s="25"/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41" t="s">
        <v>111</v>
      </c>
    </row>
    <row r="2" spans="1:5" x14ac:dyDescent="0.25">
      <c r="A2" s="40"/>
    </row>
    <row r="3" spans="1:5" x14ac:dyDescent="0.25">
      <c r="A3" t="s">
        <v>85</v>
      </c>
      <c r="B3" t="s">
        <v>86</v>
      </c>
      <c r="C3" t="s">
        <v>13</v>
      </c>
      <c r="D3" t="s">
        <v>87</v>
      </c>
      <c r="E3" t="s">
        <v>88</v>
      </c>
    </row>
    <row r="4" spans="1:5" x14ac:dyDescent="0.25">
      <c r="A4" t="s">
        <v>89</v>
      </c>
      <c r="C4" t="s">
        <v>90</v>
      </c>
      <c r="D4">
        <v>41258495</v>
      </c>
    </row>
    <row r="5" spans="1:5" x14ac:dyDescent="0.25">
      <c r="A5" t="s">
        <v>91</v>
      </c>
      <c r="C5" t="s">
        <v>90</v>
      </c>
      <c r="D5">
        <v>90623781</v>
      </c>
    </row>
    <row r="6" spans="1:5" x14ac:dyDescent="0.25">
      <c r="A6" t="s">
        <v>92</v>
      </c>
      <c r="C6" t="s">
        <v>90</v>
      </c>
      <c r="D6">
        <v>46630323</v>
      </c>
    </row>
    <row r="7" spans="1:5" x14ac:dyDescent="0.25">
      <c r="A7" t="s">
        <v>93</v>
      </c>
      <c r="C7" t="s">
        <v>90</v>
      </c>
      <c r="D7">
        <v>94809667</v>
      </c>
    </row>
    <row r="8" spans="1:5" x14ac:dyDescent="0.25">
      <c r="A8" t="s">
        <v>94</v>
      </c>
      <c r="C8" t="s">
        <v>90</v>
      </c>
    </row>
    <row r="9" spans="1:5" x14ac:dyDescent="0.25">
      <c r="A9" t="s">
        <v>95</v>
      </c>
      <c r="C9" t="s">
        <v>90</v>
      </c>
    </row>
    <row r="10" spans="1:5" x14ac:dyDescent="0.25">
      <c r="A10" t="s">
        <v>96</v>
      </c>
      <c r="C10" t="s">
        <v>90</v>
      </c>
    </row>
    <row r="11" spans="1:5" x14ac:dyDescent="0.25">
      <c r="A11" t="s">
        <v>97</v>
      </c>
    </row>
    <row r="12" spans="1:5" x14ac:dyDescent="0.25">
      <c r="A12" t="s">
        <v>98</v>
      </c>
    </row>
    <row r="13" spans="1:5" x14ac:dyDescent="0.25">
      <c r="A13" t="s">
        <v>99</v>
      </c>
      <c r="C13" t="s">
        <v>90</v>
      </c>
      <c r="D13">
        <v>98607027</v>
      </c>
    </row>
    <row r="14" spans="1:5" x14ac:dyDescent="0.25">
      <c r="A14" t="s">
        <v>100</v>
      </c>
      <c r="B14" t="s">
        <v>90</v>
      </c>
      <c r="D14">
        <v>48606701</v>
      </c>
    </row>
    <row r="15" spans="1:5" x14ac:dyDescent="0.25">
      <c r="A15" t="s">
        <v>101</v>
      </c>
      <c r="B15" t="s">
        <v>90</v>
      </c>
    </row>
    <row r="16" spans="1:5" x14ac:dyDescent="0.25">
      <c r="A16" t="s">
        <v>102</v>
      </c>
      <c r="B16" t="s">
        <v>90</v>
      </c>
      <c r="D16">
        <v>95551449</v>
      </c>
    </row>
    <row r="17" spans="1:4" x14ac:dyDescent="0.25">
      <c r="A17" t="s">
        <v>103</v>
      </c>
      <c r="B17" t="s">
        <v>90</v>
      </c>
      <c r="D17">
        <v>97915101</v>
      </c>
    </row>
    <row r="18" spans="1:4" x14ac:dyDescent="0.25">
      <c r="A18" t="s">
        <v>104</v>
      </c>
      <c r="B18" t="s">
        <v>90</v>
      </c>
      <c r="D18">
        <v>46949380</v>
      </c>
    </row>
    <row r="19" spans="1:4" x14ac:dyDescent="0.25">
      <c r="A19" t="s">
        <v>105</v>
      </c>
      <c r="B19" t="s">
        <v>90</v>
      </c>
      <c r="D19">
        <v>41268495</v>
      </c>
    </row>
    <row r="20" spans="1:4" x14ac:dyDescent="0.25">
      <c r="A20" t="s">
        <v>106</v>
      </c>
      <c r="B20" t="s">
        <v>90</v>
      </c>
    </row>
    <row r="23" spans="1:4" x14ac:dyDescent="0.25">
      <c r="A23" t="s">
        <v>107</v>
      </c>
    </row>
    <row r="24" spans="1:4" x14ac:dyDescent="0.25">
      <c r="A24" t="s">
        <v>108</v>
      </c>
      <c r="D24">
        <v>47366543</v>
      </c>
    </row>
    <row r="26" spans="1:4" x14ac:dyDescent="0.25">
      <c r="A26" t="s">
        <v>109</v>
      </c>
      <c r="D26">
        <v>90362962</v>
      </c>
    </row>
    <row r="27" spans="1:4" x14ac:dyDescent="0.25">
      <c r="A27" t="s">
        <v>110</v>
      </c>
      <c r="D27">
        <v>91845169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5" t="s">
        <v>119</v>
      </c>
      <c r="B1" s="45"/>
      <c r="C1" s="45"/>
      <c r="D1" s="45"/>
      <c r="E1" s="45"/>
      <c r="F1" s="45"/>
      <c r="G1" s="45"/>
      <c r="H1" s="45"/>
      <c r="I1" s="45"/>
    </row>
    <row r="2" spans="1:9" ht="18.75" x14ac:dyDescent="0.3">
      <c r="A2" s="46" t="s">
        <v>27</v>
      </c>
      <c r="B2" s="46"/>
      <c r="C2" s="46"/>
      <c r="D2" s="46"/>
      <c r="E2" s="46"/>
      <c r="F2" s="46"/>
      <c r="G2" s="46"/>
      <c r="H2" s="46"/>
      <c r="I2" s="46"/>
    </row>
    <row r="3" spans="1:9" ht="15.75" x14ac:dyDescent="0.25">
      <c r="A3" s="47">
        <v>42798</v>
      </c>
    </row>
    <row r="4" spans="1:9" ht="15.75" x14ac:dyDescent="0.25">
      <c r="A4" s="48" t="s">
        <v>0</v>
      </c>
      <c r="B4" s="48" t="s">
        <v>1</v>
      </c>
      <c r="C4" s="49" t="s">
        <v>2</v>
      </c>
      <c r="D4" s="48" t="s">
        <v>3</v>
      </c>
      <c r="E4" s="48" t="s">
        <v>4</v>
      </c>
      <c r="F4" s="48" t="s">
        <v>5</v>
      </c>
      <c r="G4" s="48" t="s">
        <v>15</v>
      </c>
      <c r="H4" s="48" t="s">
        <v>13</v>
      </c>
      <c r="I4" s="48" t="s">
        <v>14</v>
      </c>
    </row>
    <row r="5" spans="1:9" x14ac:dyDescent="0.25">
      <c r="A5" s="4" t="s">
        <v>120</v>
      </c>
      <c r="B5" t="s">
        <v>26</v>
      </c>
      <c r="C5" s="39" t="s">
        <v>40</v>
      </c>
      <c r="D5" t="s">
        <v>27</v>
      </c>
      <c r="E5" t="s">
        <v>28</v>
      </c>
      <c r="F5" t="s">
        <v>6</v>
      </c>
      <c r="G5" t="s">
        <v>112</v>
      </c>
      <c r="H5" s="1" t="s">
        <v>174</v>
      </c>
      <c r="I5" s="1" t="s">
        <v>103</v>
      </c>
    </row>
    <row r="6" spans="1:9" x14ac:dyDescent="0.25">
      <c r="A6" s="4" t="s">
        <v>121</v>
      </c>
      <c r="B6" t="s">
        <v>26</v>
      </c>
      <c r="C6" s="39" t="s">
        <v>42</v>
      </c>
      <c r="D6" t="s">
        <v>27</v>
      </c>
      <c r="E6" t="s">
        <v>32</v>
      </c>
      <c r="F6" t="s">
        <v>9</v>
      </c>
      <c r="G6" t="s">
        <v>112</v>
      </c>
      <c r="H6" s="1" t="s">
        <v>174</v>
      </c>
      <c r="I6" s="1" t="s">
        <v>103</v>
      </c>
    </row>
    <row r="7" spans="1:9" x14ac:dyDescent="0.25">
      <c r="A7" s="4" t="s">
        <v>122</v>
      </c>
      <c r="B7" t="s">
        <v>26</v>
      </c>
      <c r="C7" s="39" t="s">
        <v>44</v>
      </c>
      <c r="D7" t="s">
        <v>27</v>
      </c>
      <c r="E7" t="s">
        <v>34</v>
      </c>
      <c r="F7" t="s">
        <v>8</v>
      </c>
      <c r="G7" t="s">
        <v>112</v>
      </c>
      <c r="H7" s="1" t="s">
        <v>174</v>
      </c>
      <c r="I7" s="1" t="s">
        <v>103</v>
      </c>
    </row>
    <row r="8" spans="1:9" x14ac:dyDescent="0.25">
      <c r="A8" s="4" t="s">
        <v>123</v>
      </c>
      <c r="B8" t="s">
        <v>26</v>
      </c>
      <c r="C8" s="39" t="s">
        <v>46</v>
      </c>
      <c r="D8" t="s">
        <v>27</v>
      </c>
      <c r="E8" t="s">
        <v>32</v>
      </c>
      <c r="F8" t="s">
        <v>6</v>
      </c>
      <c r="G8" t="s">
        <v>112</v>
      </c>
      <c r="H8" s="1" t="s">
        <v>175</v>
      </c>
      <c r="I8" s="1" t="s">
        <v>91</v>
      </c>
    </row>
    <row r="9" spans="1:9" x14ac:dyDescent="0.25">
      <c r="A9" s="4" t="s">
        <v>124</v>
      </c>
      <c r="B9" t="s">
        <v>29</v>
      </c>
      <c r="C9" s="39" t="s">
        <v>48</v>
      </c>
      <c r="D9" t="s">
        <v>27</v>
      </c>
      <c r="E9" t="s">
        <v>31</v>
      </c>
      <c r="F9" t="s">
        <v>7</v>
      </c>
      <c r="G9" t="s">
        <v>116</v>
      </c>
      <c r="H9" s="1" t="s">
        <v>175</v>
      </c>
      <c r="I9" s="1" t="s">
        <v>91</v>
      </c>
    </row>
    <row r="10" spans="1:9" x14ac:dyDescent="0.25">
      <c r="A10" s="4" t="s">
        <v>125</v>
      </c>
      <c r="B10" t="s">
        <v>26</v>
      </c>
      <c r="C10" s="39" t="s">
        <v>50</v>
      </c>
      <c r="D10" t="s">
        <v>27</v>
      </c>
      <c r="E10" t="s">
        <v>34</v>
      </c>
      <c r="F10" t="s">
        <v>28</v>
      </c>
      <c r="G10" t="s">
        <v>112</v>
      </c>
      <c r="H10" s="1" t="s">
        <v>176</v>
      </c>
      <c r="I10" s="1" t="s">
        <v>92</v>
      </c>
    </row>
    <row r="11" spans="1:9" x14ac:dyDescent="0.25">
      <c r="A11" s="4" t="s">
        <v>126</v>
      </c>
      <c r="B11" t="s">
        <v>26</v>
      </c>
      <c r="C11" s="39" t="s">
        <v>52</v>
      </c>
      <c r="D11" t="s">
        <v>27</v>
      </c>
      <c r="E11" t="s">
        <v>8</v>
      </c>
      <c r="F11" t="s">
        <v>9</v>
      </c>
      <c r="G11" t="s">
        <v>112</v>
      </c>
      <c r="H11" s="1" t="s">
        <v>176</v>
      </c>
      <c r="I11" s="1" t="s">
        <v>92</v>
      </c>
    </row>
    <row r="12" spans="1:9" x14ac:dyDescent="0.25">
      <c r="A12" s="4" t="s">
        <v>127</v>
      </c>
      <c r="B12" t="s">
        <v>29</v>
      </c>
      <c r="C12" s="39" t="s">
        <v>54</v>
      </c>
      <c r="D12" t="s">
        <v>27</v>
      </c>
      <c r="E12" t="s">
        <v>7</v>
      </c>
      <c r="F12" t="s">
        <v>6</v>
      </c>
      <c r="G12" t="s">
        <v>116</v>
      </c>
      <c r="H12" s="1" t="s">
        <v>177</v>
      </c>
      <c r="I12" s="1" t="s">
        <v>89</v>
      </c>
    </row>
    <row r="13" spans="1:9" x14ac:dyDescent="0.25">
      <c r="A13" s="4" t="s">
        <v>128</v>
      </c>
      <c r="B13" t="s">
        <v>26</v>
      </c>
      <c r="C13" s="39" t="s">
        <v>56</v>
      </c>
      <c r="D13" t="s">
        <v>27</v>
      </c>
      <c r="E13" t="s">
        <v>32</v>
      </c>
      <c r="F13" t="s">
        <v>28</v>
      </c>
      <c r="G13" t="s">
        <v>112</v>
      </c>
      <c r="H13" s="1" t="s">
        <v>177</v>
      </c>
      <c r="I13" s="1" t="s">
        <v>89</v>
      </c>
    </row>
    <row r="14" spans="1:9" x14ac:dyDescent="0.25">
      <c r="A14" s="4" t="s">
        <v>129</v>
      </c>
      <c r="B14" t="s">
        <v>26</v>
      </c>
      <c r="C14" s="39" t="s">
        <v>59</v>
      </c>
      <c r="D14" t="s">
        <v>27</v>
      </c>
      <c r="E14" t="s">
        <v>6</v>
      </c>
      <c r="F14" t="s">
        <v>34</v>
      </c>
      <c r="G14" t="s">
        <v>112</v>
      </c>
      <c r="H14" s="1" t="s">
        <v>174</v>
      </c>
      <c r="I14" s="1" t="s">
        <v>103</v>
      </c>
    </row>
    <row r="15" spans="1:9" x14ac:dyDescent="0.25">
      <c r="A15" s="4" t="s">
        <v>130</v>
      </c>
      <c r="B15" t="s">
        <v>26</v>
      </c>
      <c r="C15" s="39" t="s">
        <v>60</v>
      </c>
      <c r="D15" t="s">
        <v>27</v>
      </c>
      <c r="E15" t="s">
        <v>9</v>
      </c>
      <c r="F15" t="s">
        <v>28</v>
      </c>
      <c r="G15" t="s">
        <v>112</v>
      </c>
      <c r="H15" s="1" t="s">
        <v>175</v>
      </c>
      <c r="I15" s="1" t="s">
        <v>91</v>
      </c>
    </row>
    <row r="16" spans="1:9" x14ac:dyDescent="0.25">
      <c r="A16" s="4" t="s">
        <v>131</v>
      </c>
      <c r="B16" t="s">
        <v>26</v>
      </c>
      <c r="C16" s="39" t="s">
        <v>62</v>
      </c>
      <c r="D16" t="s">
        <v>27</v>
      </c>
      <c r="E16" t="s">
        <v>8</v>
      </c>
      <c r="F16" t="s">
        <v>32</v>
      </c>
      <c r="G16" t="s">
        <v>112</v>
      </c>
      <c r="H16" s="1" t="s">
        <v>176</v>
      </c>
      <c r="I16" s="1" t="s">
        <v>92</v>
      </c>
    </row>
    <row r="17" spans="1:9" x14ac:dyDescent="0.25">
      <c r="A17" s="4" t="s">
        <v>132</v>
      </c>
      <c r="B17" t="s">
        <v>36</v>
      </c>
      <c r="C17" s="39" t="s">
        <v>64</v>
      </c>
      <c r="D17" t="s">
        <v>27</v>
      </c>
      <c r="E17" t="s">
        <v>6</v>
      </c>
      <c r="F17" t="s">
        <v>7</v>
      </c>
      <c r="G17" t="s">
        <v>118</v>
      </c>
      <c r="H17" s="1" t="s">
        <v>176</v>
      </c>
      <c r="I17" s="1" t="s">
        <v>92</v>
      </c>
    </row>
    <row r="18" spans="1:9" x14ac:dyDescent="0.25">
      <c r="A18" s="4" t="s">
        <v>133</v>
      </c>
      <c r="B18" t="s">
        <v>36</v>
      </c>
      <c r="C18" s="39" t="s">
        <v>66</v>
      </c>
      <c r="D18" t="s">
        <v>27</v>
      </c>
      <c r="E18" t="s">
        <v>37</v>
      </c>
      <c r="F18" t="s">
        <v>8</v>
      </c>
      <c r="G18" t="s">
        <v>118</v>
      </c>
      <c r="H18" s="1" t="s">
        <v>177</v>
      </c>
      <c r="I18" s="1" t="s">
        <v>89</v>
      </c>
    </row>
    <row r="19" spans="1:9" x14ac:dyDescent="0.25">
      <c r="A19" s="4" t="s">
        <v>134</v>
      </c>
      <c r="B19" t="s">
        <v>36</v>
      </c>
      <c r="C19" s="39" t="s">
        <v>68</v>
      </c>
      <c r="D19" t="s">
        <v>27</v>
      </c>
      <c r="E19" t="s">
        <v>39</v>
      </c>
      <c r="F19" t="s">
        <v>9</v>
      </c>
      <c r="G19" t="s">
        <v>118</v>
      </c>
      <c r="H19" s="1" t="s">
        <v>177</v>
      </c>
      <c r="I19" s="1" t="s">
        <v>89</v>
      </c>
    </row>
    <row r="20" spans="1:9" x14ac:dyDescent="0.25">
      <c r="A20" s="4" t="s">
        <v>135</v>
      </c>
      <c r="B20" t="s">
        <v>36</v>
      </c>
      <c r="C20" s="39" t="s">
        <v>70</v>
      </c>
      <c r="D20" t="s">
        <v>27</v>
      </c>
      <c r="E20" t="s">
        <v>6</v>
      </c>
      <c r="F20" t="s">
        <v>12</v>
      </c>
      <c r="G20" t="s">
        <v>118</v>
      </c>
      <c r="H20" s="1" t="s">
        <v>175</v>
      </c>
      <c r="I20" s="1" t="s">
        <v>91</v>
      </c>
    </row>
    <row r="21" spans="1:9" x14ac:dyDescent="0.25">
      <c r="A21" s="4" t="s">
        <v>136</v>
      </c>
      <c r="B21" t="s">
        <v>36</v>
      </c>
      <c r="C21" s="39" t="s">
        <v>73</v>
      </c>
      <c r="D21" t="s">
        <v>27</v>
      </c>
      <c r="E21" t="s">
        <v>8</v>
      </c>
      <c r="F21" t="s">
        <v>38</v>
      </c>
      <c r="G21" t="s">
        <v>118</v>
      </c>
      <c r="H21" s="1" t="s">
        <v>174</v>
      </c>
      <c r="I21" s="1" t="s">
        <v>103</v>
      </c>
    </row>
    <row r="22" spans="1:9" x14ac:dyDescent="0.25">
      <c r="A22" s="4" t="s">
        <v>137</v>
      </c>
      <c r="B22" t="s">
        <v>36</v>
      </c>
      <c r="C22" s="39" t="s">
        <v>74</v>
      </c>
      <c r="D22" t="s">
        <v>27</v>
      </c>
      <c r="E22" t="s">
        <v>9</v>
      </c>
      <c r="F22" t="s">
        <v>6</v>
      </c>
      <c r="G22" t="s">
        <v>118</v>
      </c>
      <c r="H22" s="1" t="s">
        <v>176</v>
      </c>
      <c r="I22" s="1" t="s">
        <v>92</v>
      </c>
    </row>
    <row r="23" spans="1:9" x14ac:dyDescent="0.25">
      <c r="A23" s="4" t="s">
        <v>138</v>
      </c>
      <c r="B23" t="s">
        <v>36</v>
      </c>
      <c r="C23" s="39" t="s">
        <v>77</v>
      </c>
      <c r="D23" t="s">
        <v>27</v>
      </c>
      <c r="E23" t="s">
        <v>8</v>
      </c>
      <c r="F23" t="s">
        <v>10</v>
      </c>
      <c r="G23" t="s">
        <v>118</v>
      </c>
      <c r="H23" s="1" t="s">
        <v>178</v>
      </c>
      <c r="I23" s="1" t="s">
        <v>100</v>
      </c>
    </row>
    <row r="24" spans="1:9" x14ac:dyDescent="0.25">
      <c r="A24" s="4" t="s">
        <v>139</v>
      </c>
      <c r="B24" t="s">
        <v>36</v>
      </c>
      <c r="C24" s="39" t="s">
        <v>78</v>
      </c>
      <c r="D24" t="s">
        <v>27</v>
      </c>
      <c r="E24" t="s">
        <v>39</v>
      </c>
      <c r="F24" t="s">
        <v>6</v>
      </c>
      <c r="G24" t="s">
        <v>118</v>
      </c>
      <c r="H24" s="1" t="s">
        <v>177</v>
      </c>
      <c r="I24" s="1" t="s">
        <v>89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5" t="s">
        <v>119</v>
      </c>
      <c r="B1" s="45"/>
      <c r="C1" s="45"/>
      <c r="D1" s="45"/>
      <c r="E1" s="45"/>
      <c r="F1" s="45"/>
      <c r="G1" s="45"/>
      <c r="H1" s="45"/>
      <c r="I1" s="45"/>
    </row>
    <row r="2" spans="1:9" ht="18.75" x14ac:dyDescent="0.3">
      <c r="A2" s="46" t="s">
        <v>30</v>
      </c>
      <c r="B2" s="46"/>
      <c r="C2" s="46"/>
      <c r="D2" s="46"/>
      <c r="E2" s="46"/>
      <c r="F2" s="46"/>
      <c r="G2" s="46"/>
      <c r="H2" s="46"/>
      <c r="I2" s="46"/>
    </row>
    <row r="3" spans="1:9" ht="15.75" x14ac:dyDescent="0.25">
      <c r="A3" s="47">
        <v>42798</v>
      </c>
    </row>
    <row r="4" spans="1:9" ht="15.75" x14ac:dyDescent="0.25">
      <c r="A4" s="48" t="s">
        <v>0</v>
      </c>
      <c r="B4" s="48" t="s">
        <v>1</v>
      </c>
      <c r="C4" s="49" t="s">
        <v>2</v>
      </c>
      <c r="D4" s="48" t="s">
        <v>3</v>
      </c>
      <c r="E4" s="48" t="s">
        <v>4</v>
      </c>
      <c r="F4" s="48" t="s">
        <v>5</v>
      </c>
      <c r="G4" s="48" t="s">
        <v>15</v>
      </c>
      <c r="H4" s="48" t="s">
        <v>13</v>
      </c>
      <c r="I4" s="48" t="s">
        <v>14</v>
      </c>
    </row>
    <row r="5" spans="1:9" x14ac:dyDescent="0.25">
      <c r="A5" s="4" t="s">
        <v>120</v>
      </c>
      <c r="B5" t="s">
        <v>29</v>
      </c>
      <c r="C5" s="39" t="s">
        <v>41</v>
      </c>
      <c r="D5" t="s">
        <v>30</v>
      </c>
      <c r="E5" t="s">
        <v>6</v>
      </c>
      <c r="F5" t="s">
        <v>31</v>
      </c>
      <c r="G5" t="s">
        <v>116</v>
      </c>
      <c r="H5" s="1" t="s">
        <v>178</v>
      </c>
      <c r="I5" s="1" t="s">
        <v>100</v>
      </c>
    </row>
    <row r="6" spans="1:9" x14ac:dyDescent="0.25">
      <c r="A6" s="4" t="s">
        <v>121</v>
      </c>
      <c r="B6" t="s">
        <v>29</v>
      </c>
      <c r="C6" s="39" t="s">
        <v>43</v>
      </c>
      <c r="D6" t="s">
        <v>30</v>
      </c>
      <c r="E6" t="s">
        <v>7</v>
      </c>
      <c r="F6" t="s">
        <v>33</v>
      </c>
      <c r="G6" t="s">
        <v>116</v>
      </c>
      <c r="H6" s="1" t="s">
        <v>178</v>
      </c>
      <c r="I6" s="1" t="s">
        <v>100</v>
      </c>
    </row>
    <row r="7" spans="1:9" x14ac:dyDescent="0.25">
      <c r="A7" s="4" t="s">
        <v>122</v>
      </c>
      <c r="B7" t="s">
        <v>35</v>
      </c>
      <c r="C7" s="39" t="s">
        <v>45</v>
      </c>
      <c r="D7" t="s">
        <v>30</v>
      </c>
      <c r="E7" t="s">
        <v>8</v>
      </c>
      <c r="F7" t="s">
        <v>33</v>
      </c>
      <c r="G7" t="s">
        <v>117</v>
      </c>
      <c r="H7" s="1" t="s">
        <v>178</v>
      </c>
      <c r="I7" s="1" t="s">
        <v>100</v>
      </c>
    </row>
    <row r="8" spans="1:9" x14ac:dyDescent="0.25">
      <c r="A8" s="4" t="s">
        <v>123</v>
      </c>
      <c r="B8" t="s">
        <v>35</v>
      </c>
      <c r="C8" s="39" t="s">
        <v>47</v>
      </c>
      <c r="D8" t="s">
        <v>30</v>
      </c>
      <c r="E8" t="s">
        <v>10</v>
      </c>
      <c r="F8" t="s">
        <v>6</v>
      </c>
      <c r="G8" t="s">
        <v>117</v>
      </c>
      <c r="H8" s="1" t="s">
        <v>178</v>
      </c>
      <c r="I8" s="1" t="s">
        <v>100</v>
      </c>
    </row>
    <row r="9" spans="1:9" x14ac:dyDescent="0.25">
      <c r="A9" s="4" t="s">
        <v>124</v>
      </c>
      <c r="B9" t="s">
        <v>29</v>
      </c>
      <c r="C9" s="39" t="s">
        <v>49</v>
      </c>
      <c r="D9" t="s">
        <v>30</v>
      </c>
      <c r="E9" t="s">
        <v>33</v>
      </c>
      <c r="F9" t="s">
        <v>6</v>
      </c>
      <c r="G9" t="s">
        <v>116</v>
      </c>
      <c r="H9" s="1" t="s">
        <v>174</v>
      </c>
      <c r="I9" s="1" t="s">
        <v>103</v>
      </c>
    </row>
    <row r="10" spans="1:9" x14ac:dyDescent="0.25">
      <c r="A10" s="4" t="s">
        <v>125</v>
      </c>
      <c r="B10" t="s">
        <v>35</v>
      </c>
      <c r="C10" s="39" t="s">
        <v>51</v>
      </c>
      <c r="D10" t="s">
        <v>30</v>
      </c>
      <c r="E10" t="s">
        <v>31</v>
      </c>
      <c r="F10" t="s">
        <v>33</v>
      </c>
      <c r="G10" t="s">
        <v>117</v>
      </c>
      <c r="H10" s="1" t="s">
        <v>174</v>
      </c>
      <c r="I10" s="1" t="s">
        <v>103</v>
      </c>
    </row>
    <row r="11" spans="1:9" x14ac:dyDescent="0.25">
      <c r="A11" s="4" t="s">
        <v>126</v>
      </c>
      <c r="B11" t="s">
        <v>35</v>
      </c>
      <c r="C11" s="39" t="s">
        <v>53</v>
      </c>
      <c r="D11" t="s">
        <v>30</v>
      </c>
      <c r="E11" t="s">
        <v>8</v>
      </c>
      <c r="F11" t="s">
        <v>10</v>
      </c>
      <c r="G11" t="s">
        <v>117</v>
      </c>
      <c r="H11" s="1" t="s">
        <v>178</v>
      </c>
      <c r="I11" s="1" t="s">
        <v>100</v>
      </c>
    </row>
    <row r="12" spans="1:9" x14ac:dyDescent="0.25">
      <c r="A12" s="4" t="s">
        <v>127</v>
      </c>
      <c r="B12" t="s">
        <v>29</v>
      </c>
      <c r="C12" s="39" t="s">
        <v>55</v>
      </c>
      <c r="D12" t="s">
        <v>30</v>
      </c>
      <c r="E12" t="s">
        <v>33</v>
      </c>
      <c r="F12" t="s">
        <v>31</v>
      </c>
      <c r="G12" t="s">
        <v>116</v>
      </c>
      <c r="H12" s="1" t="s">
        <v>178</v>
      </c>
      <c r="I12" s="1" t="s">
        <v>100</v>
      </c>
    </row>
    <row r="13" spans="1:9" x14ac:dyDescent="0.25">
      <c r="A13" s="4" t="s">
        <v>128</v>
      </c>
      <c r="B13" t="s">
        <v>35</v>
      </c>
      <c r="C13" s="39" t="s">
        <v>57</v>
      </c>
      <c r="D13" t="s">
        <v>30</v>
      </c>
      <c r="E13" t="s">
        <v>6</v>
      </c>
      <c r="F13" t="s">
        <v>31</v>
      </c>
      <c r="G13" t="s">
        <v>117</v>
      </c>
      <c r="H13" s="1" t="s">
        <v>174</v>
      </c>
      <c r="I13" s="1" t="s">
        <v>103</v>
      </c>
    </row>
    <row r="14" spans="1:9" x14ac:dyDescent="0.25">
      <c r="A14" s="4" t="s">
        <v>129</v>
      </c>
      <c r="B14" t="s">
        <v>35</v>
      </c>
      <c r="C14" s="39" t="s">
        <v>58</v>
      </c>
      <c r="D14" t="s">
        <v>30</v>
      </c>
      <c r="E14" t="s">
        <v>33</v>
      </c>
      <c r="F14" t="s">
        <v>10</v>
      </c>
      <c r="G14" t="s">
        <v>117</v>
      </c>
      <c r="H14" s="1" t="s">
        <v>175</v>
      </c>
      <c r="I14" s="1" t="s">
        <v>91</v>
      </c>
    </row>
    <row r="15" spans="1:9" x14ac:dyDescent="0.25">
      <c r="A15" s="4" t="s">
        <v>130</v>
      </c>
      <c r="B15" t="s">
        <v>35</v>
      </c>
      <c r="C15" s="39" t="s">
        <v>61</v>
      </c>
      <c r="D15" t="s">
        <v>30</v>
      </c>
      <c r="E15" t="s">
        <v>31</v>
      </c>
      <c r="F15" t="s">
        <v>8</v>
      </c>
      <c r="G15" t="s">
        <v>117</v>
      </c>
      <c r="H15" s="1" t="s">
        <v>178</v>
      </c>
      <c r="I15" s="1" t="s">
        <v>100</v>
      </c>
    </row>
    <row r="16" spans="1:9" x14ac:dyDescent="0.25">
      <c r="A16" s="4" t="s">
        <v>131</v>
      </c>
      <c r="B16" t="s">
        <v>35</v>
      </c>
      <c r="C16" s="39" t="s">
        <v>63</v>
      </c>
      <c r="D16" t="s">
        <v>30</v>
      </c>
      <c r="E16" t="s">
        <v>33</v>
      </c>
      <c r="F16" t="s">
        <v>6</v>
      </c>
      <c r="G16" t="s">
        <v>117</v>
      </c>
      <c r="H16" s="1" t="s">
        <v>178</v>
      </c>
      <c r="I16" s="1" t="s">
        <v>100</v>
      </c>
    </row>
    <row r="17" spans="1:9" x14ac:dyDescent="0.25">
      <c r="A17" s="4" t="s">
        <v>132</v>
      </c>
      <c r="B17" t="s">
        <v>36</v>
      </c>
      <c r="C17" s="39" t="s">
        <v>65</v>
      </c>
      <c r="D17" t="s">
        <v>30</v>
      </c>
      <c r="E17" t="s">
        <v>12</v>
      </c>
      <c r="F17" t="s">
        <v>10</v>
      </c>
      <c r="G17" t="s">
        <v>118</v>
      </c>
      <c r="H17" s="1" t="s">
        <v>174</v>
      </c>
      <c r="I17" s="1" t="s">
        <v>103</v>
      </c>
    </row>
    <row r="18" spans="1:9" x14ac:dyDescent="0.25">
      <c r="A18" s="4" t="s">
        <v>133</v>
      </c>
      <c r="B18" t="s">
        <v>36</v>
      </c>
      <c r="C18" s="39" t="s">
        <v>67</v>
      </c>
      <c r="D18" t="s">
        <v>30</v>
      </c>
      <c r="E18" t="s">
        <v>38</v>
      </c>
      <c r="F18" t="s">
        <v>11</v>
      </c>
      <c r="G18" t="s">
        <v>118</v>
      </c>
      <c r="H18" s="1" t="s">
        <v>174</v>
      </c>
      <c r="I18" s="1" t="s">
        <v>103</v>
      </c>
    </row>
    <row r="19" spans="1:9" x14ac:dyDescent="0.25">
      <c r="A19" s="4" t="s">
        <v>134</v>
      </c>
      <c r="B19" t="s">
        <v>36</v>
      </c>
      <c r="C19" s="39" t="s">
        <v>69</v>
      </c>
      <c r="D19" t="s">
        <v>30</v>
      </c>
      <c r="E19" t="s">
        <v>7</v>
      </c>
      <c r="F19" t="s">
        <v>10</v>
      </c>
      <c r="G19" t="s">
        <v>118</v>
      </c>
      <c r="H19" s="1" t="s">
        <v>178</v>
      </c>
      <c r="I19" s="1" t="s">
        <v>100</v>
      </c>
    </row>
    <row r="20" spans="1:9" x14ac:dyDescent="0.25">
      <c r="A20" s="4" t="s">
        <v>135</v>
      </c>
      <c r="B20" t="s">
        <v>36</v>
      </c>
      <c r="C20" s="39" t="s">
        <v>71</v>
      </c>
      <c r="D20" t="s">
        <v>30</v>
      </c>
      <c r="E20" t="s">
        <v>37</v>
      </c>
      <c r="F20" t="s">
        <v>11</v>
      </c>
      <c r="G20" t="s">
        <v>118</v>
      </c>
      <c r="H20" s="1" t="s">
        <v>178</v>
      </c>
      <c r="I20" s="1" t="s">
        <v>100</v>
      </c>
    </row>
    <row r="21" spans="1:9" x14ac:dyDescent="0.25">
      <c r="A21" s="4" t="s">
        <v>136</v>
      </c>
      <c r="B21" t="s">
        <v>36</v>
      </c>
      <c r="C21" s="39" t="s">
        <v>72</v>
      </c>
      <c r="D21" t="s">
        <v>30</v>
      </c>
      <c r="E21" t="s">
        <v>7</v>
      </c>
      <c r="F21" t="s">
        <v>39</v>
      </c>
      <c r="G21" t="s">
        <v>118</v>
      </c>
      <c r="H21" s="1" t="s">
        <v>175</v>
      </c>
      <c r="I21" s="1" t="s">
        <v>91</v>
      </c>
    </row>
    <row r="22" spans="1:9" x14ac:dyDescent="0.25">
      <c r="A22" s="4" t="s">
        <v>137</v>
      </c>
      <c r="B22" t="s">
        <v>36</v>
      </c>
      <c r="C22" s="39" t="s">
        <v>75</v>
      </c>
      <c r="D22" t="s">
        <v>30</v>
      </c>
      <c r="E22" t="s">
        <v>37</v>
      </c>
      <c r="F22" t="s">
        <v>12</v>
      </c>
      <c r="G22" t="s">
        <v>118</v>
      </c>
      <c r="H22" s="1" t="s">
        <v>174</v>
      </c>
      <c r="I22" s="1" t="s">
        <v>103</v>
      </c>
    </row>
    <row r="23" spans="1:9" x14ac:dyDescent="0.25">
      <c r="A23" s="4" t="s">
        <v>138</v>
      </c>
      <c r="B23" t="s">
        <v>36</v>
      </c>
      <c r="C23" s="39" t="s">
        <v>76</v>
      </c>
      <c r="D23" t="s">
        <v>30</v>
      </c>
      <c r="E23" t="s">
        <v>38</v>
      </c>
      <c r="F23" t="s">
        <v>7</v>
      </c>
      <c r="G23" t="s">
        <v>118</v>
      </c>
      <c r="H23" s="1" t="s">
        <v>176</v>
      </c>
      <c r="I23" s="1" t="s">
        <v>92</v>
      </c>
    </row>
    <row r="24" spans="1:9" x14ac:dyDescent="0.25">
      <c r="A24" s="4" t="s">
        <v>139</v>
      </c>
      <c r="B24" t="s">
        <v>36</v>
      </c>
      <c r="C24" s="39" t="s">
        <v>79</v>
      </c>
      <c r="D24" t="s">
        <v>30</v>
      </c>
      <c r="E24" t="s">
        <v>11</v>
      </c>
      <c r="F24" t="s">
        <v>9</v>
      </c>
      <c r="G24" t="s">
        <v>118</v>
      </c>
      <c r="H24" s="1" t="s">
        <v>178</v>
      </c>
      <c r="I24" s="1" t="s">
        <v>100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153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28</v>
      </c>
      <c r="C6" s="20" t="s">
        <v>6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32</v>
      </c>
      <c r="C7" s="25" t="s">
        <v>9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142</v>
      </c>
      <c r="B8" s="24" t="s">
        <v>34</v>
      </c>
      <c r="C8" s="25" t="s">
        <v>8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143</v>
      </c>
      <c r="B9" s="24" t="s">
        <v>32</v>
      </c>
      <c r="C9" s="25" t="s">
        <v>6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144</v>
      </c>
      <c r="B10" s="24" t="s">
        <v>34</v>
      </c>
      <c r="C10" s="25" t="s">
        <v>28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145</v>
      </c>
      <c r="B11" s="24" t="s">
        <v>8</v>
      </c>
      <c r="C11" s="25" t="s">
        <v>9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146</v>
      </c>
      <c r="B12" s="24" t="s">
        <v>32</v>
      </c>
      <c r="C12" s="25" t="s">
        <v>28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147</v>
      </c>
      <c r="B13" s="24" t="s">
        <v>6</v>
      </c>
      <c r="C13" s="25" t="s">
        <v>34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 t="s">
        <v>148</v>
      </c>
      <c r="B14" s="24" t="s">
        <v>9</v>
      </c>
      <c r="C14" s="25" t="s">
        <v>28</v>
      </c>
      <c r="D14" s="26"/>
      <c r="E14" s="27"/>
      <c r="F14" s="24"/>
      <c r="G14" s="25"/>
      <c r="H14" s="26"/>
      <c r="I14" s="25"/>
    </row>
    <row r="15" spans="1:9" ht="33" customHeight="1" x14ac:dyDescent="0.25">
      <c r="A15" s="23" t="s">
        <v>149</v>
      </c>
      <c r="B15" s="24" t="s">
        <v>8</v>
      </c>
      <c r="C15" s="25" t="s">
        <v>32</v>
      </c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154</v>
      </c>
      <c r="B6" s="19" t="s">
        <v>31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155</v>
      </c>
      <c r="B7" s="24" t="s">
        <v>7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6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37</v>
      </c>
      <c r="C7" s="25" t="s">
        <v>8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39</v>
      </c>
      <c r="C8" s="25" t="s">
        <v>9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6</v>
      </c>
      <c r="C9" s="25" t="s">
        <v>12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8</v>
      </c>
      <c r="C10" s="25" t="s">
        <v>38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9</v>
      </c>
      <c r="C11" s="25" t="s">
        <v>6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8</v>
      </c>
      <c r="C12" s="25" t="s">
        <v>10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39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6</v>
      </c>
      <c r="C6" s="20" t="s">
        <v>31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7</v>
      </c>
      <c r="C7" s="25" t="s">
        <v>33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154</v>
      </c>
      <c r="B8" s="24" t="s">
        <v>33</v>
      </c>
      <c r="C8" s="25" t="s">
        <v>6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155</v>
      </c>
      <c r="B9" s="24" t="s">
        <v>33</v>
      </c>
      <c r="C9" s="25" t="s">
        <v>31</v>
      </c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167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142</v>
      </c>
      <c r="B6" s="19" t="s">
        <v>8</v>
      </c>
      <c r="C6" s="20" t="s">
        <v>33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143</v>
      </c>
      <c r="B7" s="24" t="s">
        <v>10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144</v>
      </c>
      <c r="B8" s="24" t="s">
        <v>31</v>
      </c>
      <c r="C8" s="25" t="s">
        <v>33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145</v>
      </c>
      <c r="B9" s="24" t="s">
        <v>8</v>
      </c>
      <c r="C9" s="25" t="s">
        <v>10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146</v>
      </c>
      <c r="B10" s="24" t="s">
        <v>6</v>
      </c>
      <c r="C10" s="25" t="s">
        <v>31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147</v>
      </c>
      <c r="B11" s="24" t="s">
        <v>33</v>
      </c>
      <c r="C11" s="25" t="s">
        <v>10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148</v>
      </c>
      <c r="B12" s="24" t="s">
        <v>31</v>
      </c>
      <c r="C12" s="25" t="s">
        <v>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149</v>
      </c>
      <c r="B13" s="24" t="s">
        <v>33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12</v>
      </c>
      <c r="C6" s="20" t="s">
        <v>10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38</v>
      </c>
      <c r="C7" s="25" t="s">
        <v>11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7</v>
      </c>
      <c r="C8" s="25" t="s">
        <v>10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37</v>
      </c>
      <c r="C9" s="25" t="s">
        <v>11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7</v>
      </c>
      <c r="C10" s="25" t="s">
        <v>39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37</v>
      </c>
      <c r="C11" s="25" t="s">
        <v>12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38</v>
      </c>
      <c r="C12" s="25" t="s">
        <v>7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11</v>
      </c>
      <c r="C13" s="25" t="s">
        <v>9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8"/>
  <sheetViews>
    <sheetView workbookViewId="0">
      <selection activeCell="A11" sqref="A11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112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28</v>
      </c>
      <c r="B3">
        <v>4</v>
      </c>
      <c r="C3">
        <v>4</v>
      </c>
    </row>
    <row r="4" spans="1:3" x14ac:dyDescent="0.25">
      <c r="A4" t="s">
        <v>32</v>
      </c>
      <c r="B4">
        <v>4</v>
      </c>
      <c r="C4">
        <v>4</v>
      </c>
    </row>
    <row r="5" spans="1:3" x14ac:dyDescent="0.25">
      <c r="A5" t="s">
        <v>34</v>
      </c>
      <c r="B5">
        <v>3</v>
      </c>
      <c r="C5">
        <v>3</v>
      </c>
    </row>
    <row r="6" spans="1:3" x14ac:dyDescent="0.25">
      <c r="A6" t="s">
        <v>8</v>
      </c>
      <c r="B6">
        <v>3</v>
      </c>
      <c r="C6">
        <v>3</v>
      </c>
    </row>
    <row r="7" spans="1:3" x14ac:dyDescent="0.25">
      <c r="A7" t="s">
        <v>6</v>
      </c>
      <c r="B7">
        <v>3</v>
      </c>
      <c r="C7">
        <v>3</v>
      </c>
    </row>
    <row r="8" spans="1:3" x14ac:dyDescent="0.25">
      <c r="A8" t="s">
        <v>9</v>
      </c>
      <c r="B8">
        <v>3</v>
      </c>
      <c r="C8"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6"/>
  <sheetViews>
    <sheetView workbookViewId="0">
      <selection sqref="A1:C2"/>
    </sheetView>
  </sheetViews>
  <sheetFormatPr defaultRowHeight="15" x14ac:dyDescent="0.25"/>
  <cols>
    <col min="1" max="1" width="13.710937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116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6</v>
      </c>
      <c r="B3">
        <v>3</v>
      </c>
      <c r="C3">
        <v>3</v>
      </c>
    </row>
    <row r="4" spans="1:3" x14ac:dyDescent="0.25">
      <c r="A4" t="s">
        <v>7</v>
      </c>
      <c r="B4">
        <v>3</v>
      </c>
      <c r="C4">
        <v>3</v>
      </c>
    </row>
    <row r="5" spans="1:3" x14ac:dyDescent="0.25">
      <c r="A5" t="s">
        <v>31</v>
      </c>
      <c r="B5">
        <v>3</v>
      </c>
      <c r="C5">
        <v>3</v>
      </c>
    </row>
    <row r="6" spans="1:3" x14ac:dyDescent="0.25">
      <c r="A6" t="s">
        <v>33</v>
      </c>
      <c r="B6">
        <v>3</v>
      </c>
      <c r="C6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7"/>
  <sheetViews>
    <sheetView workbookViewId="0">
      <selection sqref="A1:C2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117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8</v>
      </c>
      <c r="B3">
        <v>3</v>
      </c>
      <c r="C3">
        <v>3</v>
      </c>
    </row>
    <row r="4" spans="1:3" x14ac:dyDescent="0.25">
      <c r="A4" t="s">
        <v>10</v>
      </c>
      <c r="B4">
        <v>3</v>
      </c>
      <c r="C4">
        <v>3</v>
      </c>
    </row>
    <row r="5" spans="1:3" x14ac:dyDescent="0.25">
      <c r="A5" t="s">
        <v>31</v>
      </c>
      <c r="B5">
        <v>3</v>
      </c>
      <c r="C5">
        <v>3</v>
      </c>
    </row>
    <row r="6" spans="1:3" x14ac:dyDescent="0.25">
      <c r="A6" t="s">
        <v>6</v>
      </c>
      <c r="B6">
        <v>3</v>
      </c>
      <c r="C6">
        <v>3</v>
      </c>
    </row>
    <row r="7" spans="1:3" x14ac:dyDescent="0.25">
      <c r="A7" t="s">
        <v>33</v>
      </c>
      <c r="B7">
        <v>4</v>
      </c>
      <c r="C7"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1"/>
  <sheetViews>
    <sheetView tabSelected="1" workbookViewId="0">
      <selection activeCell="A14" sqref="A14"/>
    </sheetView>
  </sheetViews>
  <sheetFormatPr defaultRowHeight="15" x14ac:dyDescent="0.25"/>
  <cols>
    <col min="1" max="1" width="16.57031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118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10</v>
      </c>
      <c r="B3">
        <v>3</v>
      </c>
      <c r="C3">
        <v>3</v>
      </c>
    </row>
    <row r="4" spans="1:3" x14ac:dyDescent="0.25">
      <c r="A4" t="s">
        <v>6</v>
      </c>
      <c r="B4">
        <v>2</v>
      </c>
      <c r="C4">
        <v>2</v>
      </c>
    </row>
    <row r="5" spans="1:3" x14ac:dyDescent="0.25">
      <c r="A5" t="s">
        <v>12</v>
      </c>
      <c r="B5">
        <v>1</v>
      </c>
      <c r="C5">
        <v>1</v>
      </c>
    </row>
    <row r="6" spans="1:3" x14ac:dyDescent="0.25">
      <c r="A6" t="s">
        <v>38</v>
      </c>
      <c r="B6">
        <v>3</v>
      </c>
      <c r="C6">
        <v>3</v>
      </c>
    </row>
    <row r="7" spans="1:3" x14ac:dyDescent="0.25">
      <c r="A7" t="s">
        <v>39</v>
      </c>
      <c r="B7">
        <v>3</v>
      </c>
      <c r="C7">
        <v>3</v>
      </c>
    </row>
    <row r="8" spans="1:3" x14ac:dyDescent="0.25">
      <c r="A8" t="s">
        <v>7</v>
      </c>
      <c r="B8">
        <v>4</v>
      </c>
      <c r="C8">
        <v>4</v>
      </c>
    </row>
    <row r="9" spans="1:3" x14ac:dyDescent="0.25">
      <c r="A9" t="s">
        <v>8</v>
      </c>
      <c r="B9">
        <v>3</v>
      </c>
      <c r="C9">
        <v>3</v>
      </c>
    </row>
    <row r="10" spans="1:3" x14ac:dyDescent="0.25">
      <c r="A10" t="s">
        <v>9</v>
      </c>
      <c r="B10">
        <v>3</v>
      </c>
      <c r="C10">
        <v>3</v>
      </c>
    </row>
    <row r="11" spans="1:3" x14ac:dyDescent="0.25">
      <c r="A11" t="s">
        <v>11</v>
      </c>
      <c r="B11">
        <v>3</v>
      </c>
      <c r="C1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Grunndata</vt:lpstr>
      <vt:lpstr>Kamprapport mal</vt:lpstr>
      <vt:lpstr>Dommere</vt:lpstr>
      <vt:lpstr>Flinthallen Minibane 1</vt:lpstr>
      <vt:lpstr>Flinthallen Minibane 2</vt:lpstr>
      <vt:lpstr>Kamprapport bane 1  J7 </vt:lpstr>
      <vt:lpstr>Kamprapport bane 1  G6 </vt:lpstr>
      <vt:lpstr>Kamprapport bane 1  J8 </vt:lpstr>
      <vt:lpstr>Kamprapport bane 2  G6 </vt:lpstr>
      <vt:lpstr>Kamprapport bane 2  J6 </vt:lpstr>
      <vt:lpstr>Kamprapport bane 2  J8 </vt:lpstr>
      <vt:lpstr>Lag  J7 </vt:lpstr>
      <vt:lpstr>Lag  G6 </vt:lpstr>
      <vt:lpstr>Lag  J6 </vt:lpstr>
      <vt:lpstr>Lag  J8 </vt:lpstr>
      <vt:lpstr>'Kamprapport bane 1  G6 '!Print_Area</vt:lpstr>
      <vt:lpstr>'Kamprapport bane 1  J7 '!Print_Area</vt:lpstr>
      <vt:lpstr>'Kamprapport bane 1  J8 '!Print_Area</vt:lpstr>
      <vt:lpstr>'Kamprapport bane 2  G6 '!Print_Area</vt:lpstr>
      <vt:lpstr>'Kamprapport bane 2  J6 '!Print_Area</vt:lpstr>
      <vt:lpstr>'Kamprapport bane 2  J8 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2017-03-20T21:49:13Z</dcterms:modified>
</cp:coreProperties>
</file>